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DECDF962-5B9F-466F-9A3F-324302BCAFAE}" xr6:coauthVersionLast="47" xr6:coauthVersionMax="47" xr10:uidLastSave="{00000000-0000-0000-0000-000000000000}"/>
  <bookViews>
    <workbookView xWindow="420" yWindow="1200" windowWidth="24012" windowHeight="23196" activeTab="3" xr2:uid="{11E88E8F-BE23-498B-AC57-3C0FE90AFFB0}"/>
  </bookViews>
  <sheets>
    <sheet name="LOG_Helmet" sheetId="355" r:id="rId1"/>
    <sheet name="Setting" sheetId="8" r:id="rId2"/>
    <sheet name="Hel_SpecSheet" sheetId="354" r:id="rId3"/>
    <sheet name="InspectionSheet" sheetId="141" r:id="rId4"/>
  </sheets>
  <functionGroups builtInGroupCount="19"/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54" l="1"/>
  <c r="T3" i="354"/>
  <c r="T4" i="354"/>
  <c r="T5" i="354"/>
  <c r="T6" i="354"/>
  <c r="T7" i="354"/>
  <c r="T8" i="354"/>
  <c r="T9" i="354"/>
  <c r="T10" i="354"/>
  <c r="T11" i="354"/>
  <c r="T12" i="354"/>
  <c r="T13" i="354"/>
  <c r="T14" i="354"/>
  <c r="T15" i="354"/>
  <c r="T16" i="354"/>
  <c r="T17" i="354"/>
  <c r="T18" i="354"/>
  <c r="T19" i="354"/>
  <c r="T20" i="354"/>
  <c r="T21" i="354"/>
  <c r="T22" i="354"/>
  <c r="S9" i="354"/>
  <c r="S11" i="354"/>
  <c r="S13" i="354"/>
  <c r="S7" i="354"/>
  <c r="S15" i="354"/>
  <c r="S6" i="354"/>
  <c r="S2" i="354"/>
  <c r="S8" i="354"/>
  <c r="S19" i="354"/>
  <c r="S22" i="354"/>
  <c r="S4" i="354"/>
  <c r="S16" i="354"/>
  <c r="S17" i="354"/>
  <c r="S20" i="354"/>
  <c r="S12" i="354"/>
  <c r="S21" i="354"/>
  <c r="S18" i="354"/>
  <c r="S10" i="354"/>
  <c r="S5" i="354"/>
  <c r="S3" i="354"/>
  <c r="S14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<sst xmlns="http://schemas.openxmlformats.org/spreadsheetml/2006/main" count="551" uniqueCount="209">
  <si>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</si>
  <si>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</si>
  <si>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</si>
  <si>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</si>
  <si>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</si>
  <si>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</si>
  <si>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</si>
  <si>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</si>
  <si>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</si>
  <si>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</si>
  <si>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</si>
  <si>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</si>
  <si>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</si>
  <si>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</si>
  <si>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</si>
  <si>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</si>
  <si>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</si>
  <si>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</si>
  <si>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</si>
  <si>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</si>
  <si>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</si>
  <si>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</si>
  <si>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</si>
  <si>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</si>
  <si>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</si>
  <si>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</si>
  <si>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</si>
  <si>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</si>
  <si>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</si>
  <si>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</si>
  <si>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</si>
  <si>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</si>
  <si>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</si>
  <si>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</si>
  <si>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</si>
  <si>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</si>
  <si>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</si>
  <si>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</si>
  <si>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</si>
  <si>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</si>
  <si>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</si>
  <si>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</si>
  <si>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</si>
  <si>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</si>
  <si>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</si>
  <si>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</si>
  <si>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</si>
  <si>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</si>
  <si>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</si>
  <si>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</si>
  <si>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</si>
  <si>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</si>
  <si>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</si>
  <si>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</si>
  <si>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</si>
  <si>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</si>
  <si>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</si>
  <si>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</si>
  <si>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</si>
  <si>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</si>
  <si>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</si>
  <si>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</si>
  <si>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</si>
  <si>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</si>
  <si>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</si>
  <si>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</si>
  <si>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</si>
  <si>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</si>
  <si>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</si>
  <si>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</si>
  <si>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</si>
  <si>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</si>
  <si>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</si>
  <si>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</si>
  <si>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</si>
  <si>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</si>
  <si>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</si>
  <si>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</si>
  <si>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</si>
  <si>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</si>
  <si>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</si>
  <si>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</si>
  <si>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</si>
  <si>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</si>
  <si>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</si>
  <si>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</si>
  <si>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</si>
  <si>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</si>
  <si>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</si>
  <si>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</si>
  <si>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</si>
  <si>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</si>
  <si>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</si>
  <si>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</si>
  <si>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</si>
  <si>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</si>
  <si>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</si>
  <si>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</si>
  <si>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</si>
  <si>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</si>
  <si>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</si>
  <si>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</si>
  <si>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</si>
  <si>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</si>
  <si>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</si>
  <si>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</si>
  <si>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</si>
  <si>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</si>
  <si>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</si>
  <si>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</si>
  <si>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</si>
  <si>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</si>
  <si>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</si>
  <si>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</si>
  <si>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</si>
  <si>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</si>
  <si>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</si>
  <si>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</si>
  <si>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</si>
  <si>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</si>
  <si>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</si>
  <si>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</si>
  <si>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</si>
  <si>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</si>
  <si>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</si>
  <si>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</si>
  <si>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</si>
  <si>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</si>
  <si>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</si>
  <si>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</si>
  <si>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</si>
  <si>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</si>
  <si>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</si>
  <si>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</si>
  <si>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</si>
  <si>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</si>
  <si>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</si>
  <si>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</si>
  <si>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</si>
  <si>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</si>
  <si>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</si>
  <si>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</si>
  <si>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</si>
  <si>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</si>
  <si>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</si>
  <si>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</si>
  <si>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</si>
  <si>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</si>
  <si>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</si>
  <si>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</si>
  <si>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</si>
  <si>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</si>
  <si>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</si>
  <si>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</si>
  <si>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</si>
  <si>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</si>
  <si>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</si>
  <si>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</si>
  <si>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</si>
  <si>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</si>
  <si>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</si>
  <si>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</si>
  <si>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</si>
  <si>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</si>
  <si>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</si>
  <si>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</si>
  <si>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</si>
  <si>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0002HEL_TOP</t>
  </si>
  <si>
    <t>0003HEL_TOP</t>
  </si>
  <si>
    <t>0004HEL_TOP</t>
  </si>
  <si>
    <t>0005HEL_TOP</t>
  </si>
  <si>
    <t>0006HEL_TOP</t>
  </si>
  <si>
    <t>0007HEL_TOP</t>
  </si>
  <si>
    <t>0008HEL_TOP</t>
  </si>
  <si>
    <t>0009HEL_TOP</t>
  </si>
  <si>
    <t>0010HEL_TOP</t>
  </si>
  <si>
    <t>0003HEL_ZENGO</t>
  </si>
  <si>
    <t>0004HEL_ZENGO</t>
  </si>
  <si>
    <t>0005HEL_ZENGO</t>
  </si>
  <si>
    <t>0006HEL_ZENGO</t>
  </si>
  <si>
    <t>0007HEL_ZENGO</t>
  </si>
  <si>
    <t>0008HEL_ZENGO</t>
  </si>
  <si>
    <t>0010HEL_ZENGO</t>
  </si>
  <si>
    <t>0011HEL_ZENGO</t>
  </si>
  <si>
    <t>0012HEL_ZENGO</t>
  </si>
  <si>
    <t>0014HEL_ZENGO</t>
  </si>
  <si>
    <t>0015HEL_ZENGO</t>
  </si>
  <si>
    <t>0016HEL_ZENGO</t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</si>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</sst>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7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 wrapText="1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LOG_Helmet!$GY$1:$MN$1</c:f>
              <c:numCache>
                <c:formatCode>General</c:formatCode>
                <c:ptCount val="14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4-4936-A0ED-519471B72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800784"/>
        <c:axId val="1038799344"/>
      </c:lineChart>
      <c:catAx>
        <c:axId val="1038800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879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80078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2-4B39-B710-4C1CFDDE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797904"/>
        <c:axId val="1036455296"/>
      </c:lineChart>
      <c:catAx>
        <c:axId val="103879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52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52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D-4E4E-A29A-2C1AC29A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6453376"/>
        <c:axId val="1036456256"/>
      </c:lineChart>
      <c:catAx>
        <c:axId val="1036453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62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625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3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2-458F-A166-4EF7EBC5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0192"/>
        <c:axId val="1417133072"/>
      </c:lineChart>
      <c:catAx>
        <c:axId val="1417130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3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3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B-4710-9061-B37E8A19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29232"/>
        <c:axId val="1417130672"/>
      </c:lineChart>
      <c:catAx>
        <c:axId val="14171292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0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292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7-49BE-B972-1E7BB9EBE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1632"/>
        <c:axId val="1417132112"/>
      </c:lineChart>
      <c:catAx>
        <c:axId val="1417131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21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21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1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0-4541-94EB-360E92A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6752"/>
        <c:axId val="1335527712"/>
      </c:lineChart>
      <c:catAx>
        <c:axId val="13355267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77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77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7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A-4588-8FB9-9395C015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8672"/>
        <c:axId val="1335525792"/>
      </c:lineChart>
      <c:catAx>
        <c:axId val="1335528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5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57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86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6-4E29-9758-7049EFB36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9632"/>
        <c:axId val="1335526272"/>
      </c:lineChart>
      <c:catAx>
        <c:axId val="1335529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6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9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4-4AE4-A386-32D1D36BA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32032"/>
        <c:axId val="1422647664"/>
      </c:lineChart>
      <c:catAx>
        <c:axId val="13355320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6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6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320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LOG_Helmet!$GY$1:$LN$1</c:f>
              <c:numCache>
                <c:formatCode>General</c:formatCode>
                <c:ptCount val="12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9-4F64-9F21-3A6158E9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8624"/>
        <c:axId val="1422649584"/>
      </c:lineChart>
      <c:catAx>
        <c:axId val="14226486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95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95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86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LOG_Helmet!$GY$1:$MU$1</c:f>
              <c:numCache>
                <c:formatCode>General</c:formatCode>
                <c:ptCount val="15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F-4C87-BF10-636959E5C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4304"/>
        <c:axId val="1422644784"/>
      </c:lineChart>
      <c:catAx>
        <c:axId val="1422644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4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3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8-4FAB-89BB-CF3309AB7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6704"/>
        <c:axId val="1422647184"/>
      </c:lineChart>
      <c:catAx>
        <c:axId val="14226467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670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D-4075-84DE-2F0B26375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1296"/>
        <c:axId val="1530418416"/>
      </c:lineChart>
      <c:catAx>
        <c:axId val="1530421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84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84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129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5-44A9-B0A8-1E7389872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3216"/>
        <c:axId val="1530417456"/>
      </c:lineChart>
      <c:catAx>
        <c:axId val="1530423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7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7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3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8-4DE3-97FB-3AE131143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4176"/>
        <c:axId val="1530424656"/>
      </c:lineChart>
      <c:catAx>
        <c:axId val="1530424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6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246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9-4AE9-8CC3-24D9BE36E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17216"/>
        <c:axId val="1422719616"/>
      </c:lineChart>
      <c:catAx>
        <c:axId val="1422717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96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96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75E-A9C5-64B3C45B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7776"/>
        <c:axId val="1422729216"/>
      </c:lineChart>
      <c:catAx>
        <c:axId val="1422727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92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92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77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LOG_Helmet!$GY$1:$MT$1</c:f>
              <c:numCache>
                <c:formatCode>General</c:formatCode>
                <c:ptCount val="15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A-431C-8344-09ADE59B9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5856"/>
        <c:axId val="1422717696"/>
      </c:lineChart>
      <c:catAx>
        <c:axId val="14227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6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76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58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2-4D83-95AB-D7DA7D3E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1056"/>
        <c:axId val="1422720576"/>
      </c:lineChart>
      <c:catAx>
        <c:axId val="1422721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0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057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10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4-42EE-A021-D573192E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0176"/>
        <c:axId val="1422723456"/>
      </c:lineChart>
      <c:catAx>
        <c:axId val="14227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3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3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0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A-400A-BA97-224A1BB8E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1136"/>
        <c:axId val="1422722496"/>
      </c:lineChart>
      <c:catAx>
        <c:axId val="14227311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24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24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11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0-48BE-9C62-02B3C1E29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4416"/>
        <c:axId val="1422619200"/>
      </c:lineChart>
      <c:catAx>
        <c:axId val="1422724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2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192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44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3F7-ABAA-D243122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31200"/>
        <c:axId val="1422620640"/>
      </c:lineChart>
      <c:catAx>
        <c:axId val="14226312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0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06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312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2A-4A7D-8004-71D184DCA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8720"/>
        <c:axId val="1422623520"/>
      </c:lineChart>
      <c:catAx>
        <c:axId val="14226187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3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3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87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5-40A8-86B7-CACE7C1DA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9680"/>
        <c:axId val="1422624480"/>
      </c:lineChart>
      <c:catAx>
        <c:axId val="14226196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4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44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6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8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52F535A-14BF-463F-8EAA-5B27703C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D3D4503-0872-4A5E-8151-EB8263B35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06D325F3-FF98-4930-8920-EAF1BF22C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B6AA416B-D5BB-424F-98C8-B9CFFCB09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FFC55DF0-FAF1-4BDC-A013-58612E726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0FA288F9-5D52-4D7D-A55D-E8D8057FF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7FE4F75-E139-427D-AE17-6E2E2C0F2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5</xdr:col>
      <xdr:colOff>177800</xdr:colOff>
      <xdr:row>39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D62FC6-D52A-4884-9779-9429C53C0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5</xdr:col>
      <xdr:colOff>304800</xdr:colOff>
      <xdr:row>39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CF062041-3809-4A5A-B216-B43B3200E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5</xdr:col>
      <xdr:colOff>431800</xdr:colOff>
      <xdr:row>39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9F7AE85-625C-493E-BCB0-82B63F2FD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5</xdr:col>
      <xdr:colOff>558800</xdr:colOff>
      <xdr:row>39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A4F8E37-A9BA-4F6A-A12D-57A3FB879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5</xdr:col>
      <xdr:colOff>685800</xdr:colOff>
      <xdr:row>39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8B5C4425-61BE-4E9E-BD1E-D2BC38B17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5</xdr:col>
      <xdr:colOff>812800</xdr:colOff>
      <xdr:row>39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8B22543-962F-4275-A6BE-911C96CD9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6</xdr:col>
      <xdr:colOff>40640</xdr:colOff>
      <xdr:row>39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DE1209CE-F0CB-468F-B347-5D991707D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6</xdr:col>
      <xdr:colOff>167640</xdr:colOff>
      <xdr:row>39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36B821C-0FEE-4C04-8909-8466F064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6</xdr:col>
      <xdr:colOff>294640</xdr:colOff>
      <xdr:row>39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778DA50-C9A3-43DC-B0C2-66B5329BC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6</xdr:col>
      <xdr:colOff>421640</xdr:colOff>
      <xdr:row>39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44288F09-6BF4-47A7-9495-6EBE32834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6</xdr:col>
      <xdr:colOff>548640</xdr:colOff>
      <xdr:row>39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112398F-7542-40A7-91BA-D23EB0A9E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7</xdr:col>
      <xdr:colOff>88900</xdr:colOff>
      <xdr:row>39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9CEB57A-1380-4610-A920-0C7523A3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7</xdr:col>
      <xdr:colOff>215900</xdr:colOff>
      <xdr:row>39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511F0B0-B9FF-43EA-B366-040E82D0E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7</xdr:col>
      <xdr:colOff>342900</xdr:colOff>
      <xdr:row>39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593BA2A-CE21-4AFE-BEFE-C8BCB584D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7</xdr:col>
      <xdr:colOff>469900</xdr:colOff>
      <xdr:row>39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BE9EED6D-A51C-457F-9B74-0D01C37BA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7</xdr:col>
      <xdr:colOff>596900</xdr:colOff>
      <xdr:row>39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B815DBF-121F-4361-8D8C-4034448B1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7</xdr:col>
      <xdr:colOff>723900</xdr:colOff>
      <xdr:row>39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266B54AB-4235-4A1A-834D-ED6E3BB5C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7</xdr:col>
      <xdr:colOff>850900</xdr:colOff>
      <xdr:row>39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E777A942-8327-42B9-B52E-FC365B2B6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7</xdr:col>
      <xdr:colOff>977900</xdr:colOff>
      <xdr:row>39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360B38B1-3DAA-4173-98AD-14D0E662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7</xdr:col>
      <xdr:colOff>1104900</xdr:colOff>
      <xdr:row>39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02F57B8-5CEF-4C9D-8106-16B82FAA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7</xdr:col>
      <xdr:colOff>1231900</xdr:colOff>
      <xdr:row>39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B17799DE-22BD-4994-A940-48C4BAE44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591820</xdr:colOff>
      <xdr:row>22</xdr:row>
      <xdr:rowOff>129540</xdr:rowOff>
    </xdr:from>
    <xdr:to>
      <xdr:col>8</xdr:col>
      <xdr:colOff>25400</xdr:colOff>
      <xdr:row>39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1D9E6B7-4DC6-4EB1-B070-548213D1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718820</xdr:colOff>
      <xdr:row>22</xdr:row>
      <xdr:rowOff>129540</xdr:rowOff>
    </xdr:from>
    <xdr:to>
      <xdr:col>8</xdr:col>
      <xdr:colOff>152400</xdr:colOff>
      <xdr:row>39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538B0A0C-5906-4BF7-960A-2E4FFE633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845820</xdr:colOff>
      <xdr:row>22</xdr:row>
      <xdr:rowOff>129540</xdr:rowOff>
    </xdr:from>
    <xdr:to>
      <xdr:col>8</xdr:col>
      <xdr:colOff>279400</xdr:colOff>
      <xdr:row>39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FEE5FCA6-4006-402E-9FCC-65B9391CE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50800</xdr:colOff>
      <xdr:row>22</xdr:row>
      <xdr:rowOff>129540</xdr:rowOff>
    </xdr:from>
    <xdr:to>
      <xdr:col>8</xdr:col>
      <xdr:colOff>406400</xdr:colOff>
      <xdr:row>39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AA035F81-0E8E-4CAC-A047-C5478503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177800</xdr:colOff>
      <xdr:row>22</xdr:row>
      <xdr:rowOff>129540</xdr:rowOff>
    </xdr:from>
    <xdr:to>
      <xdr:col>8</xdr:col>
      <xdr:colOff>533400</xdr:colOff>
      <xdr:row>39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ED9CF7F-8A1E-49E9-8CE5-43ED0E882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70E0-7E64-462B-B627-F56E1D745FFA}">
  <sheetPr codeName="Sheet9"/>
  <dimension ref="A1:CSC22"/>
  <sheetViews>
    <sheetView zoomScaleNormal="100" workbookViewId="0">
      <selection activeCell="J17" sqref="J17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H2" s="17">
        <v>2.8917999999999999</v>
      </c>
      <c r="L2"/>
      <c r="M2"/>
      <c r="N2"/>
      <c r="O2"/>
      <c r="P2"/>
      <c r="Q2"/>
      <c r="R2"/>
      <c r="S2"/>
      <c r="T2"/>
      <c r="U2"/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168</v>
      </c>
      <c r="H3" s="17">
        <v>2.6594000000000002</v>
      </c>
      <c r="L3"/>
      <c r="M3"/>
      <c r="N3"/>
      <c r="O3"/>
      <c r="P3"/>
      <c r="Q3"/>
      <c r="R3"/>
      <c r="S3"/>
      <c r="T3"/>
      <c r="U3"/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169</v>
      </c>
      <c r="H4" s="17">
        <v>3.0724999999999998</v>
      </c>
      <c r="L4"/>
      <c r="M4"/>
      <c r="N4"/>
      <c r="O4"/>
      <c r="P4"/>
      <c r="Q4"/>
      <c r="R4"/>
      <c r="S4"/>
      <c r="T4"/>
      <c r="U4"/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170</v>
      </c>
      <c r="H5" s="17">
        <v>3.4340000000000002</v>
      </c>
      <c r="L5"/>
      <c r="M5"/>
      <c r="N5"/>
      <c r="O5"/>
      <c r="P5"/>
      <c r="Q5"/>
      <c r="R5"/>
      <c r="S5"/>
      <c r="T5"/>
      <c r="U5"/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171</v>
      </c>
      <c r="H6" s="17">
        <v>3.3824000000000001</v>
      </c>
      <c r="L6"/>
      <c r="M6"/>
      <c r="N6"/>
      <c r="O6"/>
      <c r="P6"/>
      <c r="Q6"/>
      <c r="R6"/>
      <c r="S6"/>
      <c r="T6"/>
      <c r="U6"/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172</v>
      </c>
      <c r="H7" s="17">
        <v>3.6147</v>
      </c>
      <c r="L7"/>
      <c r="M7"/>
      <c r="N7"/>
      <c r="O7"/>
      <c r="P7"/>
      <c r="Q7"/>
      <c r="R7"/>
      <c r="S7"/>
      <c r="T7"/>
      <c r="U7"/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173</v>
      </c>
      <c r="H8" s="17">
        <v>3.4081999999999999</v>
      </c>
      <c r="L8"/>
      <c r="M8"/>
      <c r="N8"/>
      <c r="O8"/>
      <c r="P8"/>
      <c r="Q8"/>
      <c r="R8"/>
      <c r="S8"/>
      <c r="T8"/>
      <c r="U8"/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174</v>
      </c>
      <c r="H9" s="17">
        <v>3.1758000000000002</v>
      </c>
      <c r="L9"/>
      <c r="M9"/>
      <c r="N9"/>
      <c r="O9"/>
      <c r="P9"/>
      <c r="Q9"/>
      <c r="R9"/>
      <c r="S9"/>
      <c r="T9"/>
      <c r="U9"/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175</v>
      </c>
      <c r="H10" s="17">
        <v>3.2532999999999999</v>
      </c>
      <c r="L10"/>
      <c r="M10"/>
      <c r="N10"/>
      <c r="O10"/>
      <c r="P10"/>
      <c r="Q10"/>
      <c r="R10"/>
      <c r="S10"/>
      <c r="T10"/>
      <c r="U10"/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176</v>
      </c>
      <c r="H11" s="17">
        <v>6.226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177</v>
      </c>
      <c r="H12" s="17">
        <v>6.6151999999999997</v>
      </c>
      <c r="L12"/>
      <c r="M12"/>
      <c r="N12"/>
      <c r="O12"/>
      <c r="P12"/>
      <c r="Q12"/>
      <c r="R12"/>
      <c r="S12"/>
      <c r="T12"/>
      <c r="U12"/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5" t="s">
        <v>178</v>
      </c>
      <c r="H13" s="17">
        <v>6.2907999999999999</v>
      </c>
      <c r="L13"/>
      <c r="M13"/>
      <c r="N13"/>
      <c r="O13"/>
      <c r="P13"/>
      <c r="Q13"/>
      <c r="R13"/>
      <c r="S13"/>
      <c r="T13"/>
      <c r="U13"/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5" t="s">
        <v>179</v>
      </c>
      <c r="H14" s="17">
        <v>5.7072000000000003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5" t="s">
        <v>180</v>
      </c>
      <c r="H15" s="17">
        <v>5.6422999999999996</v>
      </c>
      <c r="L15"/>
      <c r="M15"/>
      <c r="N15"/>
      <c r="O15"/>
      <c r="P15"/>
      <c r="Q15"/>
      <c r="R15"/>
      <c r="S15"/>
      <c r="T15"/>
      <c r="U15"/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5" t="s">
        <v>181</v>
      </c>
      <c r="H16" s="17">
        <v>5.3829000000000002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5" t="s">
        <v>182</v>
      </c>
      <c r="H17" s="17">
        <v>6.6820000000000004</v>
      </c>
      <c r="L17"/>
      <c r="M17"/>
      <c r="N17"/>
      <c r="O17"/>
      <c r="P17"/>
      <c r="Q17"/>
      <c r="R17"/>
      <c r="S17"/>
      <c r="T17"/>
      <c r="U17"/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5" t="s">
        <v>183</v>
      </c>
      <c r="H18" s="17">
        <v>7.1988000000000003</v>
      </c>
      <c r="L18"/>
      <c r="M18"/>
      <c r="N18"/>
      <c r="O18"/>
      <c r="P18"/>
      <c r="Q18"/>
      <c r="R18"/>
      <c r="S18"/>
      <c r="T18"/>
      <c r="U18"/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5" t="s">
        <v>184</v>
      </c>
      <c r="H19" s="17">
        <v>7.0042999999999997</v>
      </c>
      <c r="L19"/>
      <c r="M19"/>
      <c r="N19"/>
      <c r="O19"/>
      <c r="P19"/>
      <c r="Q19"/>
      <c r="R19"/>
      <c r="S19"/>
      <c r="T19"/>
      <c r="U19"/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5" t="s">
        <v>185</v>
      </c>
      <c r="H20" s="17">
        <v>6.6849999999999996</v>
      </c>
      <c r="L20"/>
      <c r="M20"/>
      <c r="N20"/>
      <c r="O20"/>
      <c r="P20"/>
      <c r="Q20"/>
      <c r="R20"/>
      <c r="S20"/>
      <c r="T20"/>
      <c r="U20"/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5" t="s">
        <v>186</v>
      </c>
      <c r="H21" s="17">
        <v>6.2906000000000004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5" t="s">
        <v>187</v>
      </c>
      <c r="H22" s="17">
        <v>6.2907999999999999</v>
      </c>
      <c r="L22"/>
      <c r="M22"/>
      <c r="N22"/>
      <c r="O22"/>
      <c r="P22"/>
      <c r="Q22"/>
      <c r="R22"/>
      <c r="S22"/>
      <c r="T22"/>
      <c r="U22"/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31" sqref="H31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5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5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5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5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5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5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topLeftCell="H1" workbookViewId="0">
      <selection activeCell="T2" sqref="T2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0" x14ac:dyDescent="0.45">
      <c r="B2" t="s">
        <v>188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57">
        <v>45.4</v>
      </c>
      <c r="L2" t="s">
        <v>40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 t="str">
        <f>_xlfn.XLOOKUP(Hel_SpecSheet!D2, Setting!$H$2:$H$49, Setting!$I$2:$I$49, "")</f>
        <v/>
      </c>
    </row>
    <row r="3" spans="2:20" x14ac:dyDescent="0.45">
      <c r="B3" t="s">
        <v>189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57">
        <v>45.3</v>
      </c>
      <c r="L3" t="s">
        <v>40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 t="str">
        <f>_xlfn.XLOOKUP(Hel_SpecSheet!D3, Setting!$H$2:$H$47, Setting!$I$2:$I$47, "")</f>
        <v/>
      </c>
    </row>
    <row r="4" spans="2:20" x14ac:dyDescent="0.45">
      <c r="B4" t="s">
        <v>190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57">
        <v>45.8</v>
      </c>
      <c r="L4" t="s">
        <v>40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 t="str">
        <f>_xlfn.XLOOKUP(Hel_SpecSheet!D4, Setting!$H$2:$H$47, Setting!$I$2:$I$47, "")</f>
        <v/>
      </c>
    </row>
    <row r="5" spans="2:20" x14ac:dyDescent="0.45">
      <c r="B5" t="s">
        <v>191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57">
        <v>44.7</v>
      </c>
      <c r="L5" t="s">
        <v>40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_xlfn.XLOOKUP(Hel_SpecSheet!D5, Setting!$H$2:$H$47, Setting!$I$2:$I$47, "")</f>
        <v>3</v>
      </c>
    </row>
    <row r="6" spans="2:20" x14ac:dyDescent="0.45">
      <c r="B6" t="s">
        <v>192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57">
        <v>45</v>
      </c>
      <c r="L6" t="s">
        <v>40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_xlfn.XLOOKUP(Hel_SpecSheet!D6, Setting!$H$2:$H$47, Setting!$I$2:$I$47, "")</f>
        <v>3</v>
      </c>
    </row>
    <row r="7" spans="2:20" x14ac:dyDescent="0.45">
      <c r="B7" t="s">
        <v>193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57">
        <v>45.3</v>
      </c>
      <c r="L7" t="s">
        <v>40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_xlfn.XLOOKUP(Hel_SpecSheet!D7, Setting!$H$2:$H$47, Setting!$I$2:$I$47, "")</f>
        <v>3</v>
      </c>
    </row>
    <row r="8" spans="2:20" x14ac:dyDescent="0.45">
      <c r="B8" t="s">
        <v>194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17">
        <v>3.4081999999999999</v>
      </c>
      <c r="I8" t="s">
        <v>122</v>
      </c>
      <c r="J8">
        <v>373.4</v>
      </c>
      <c r="K8" s="57">
        <v>44.7</v>
      </c>
      <c r="L8" t="s">
        <v>40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_xlfn.XLOOKUP(Hel_SpecSheet!D8, Setting!$H$2:$H$47, Setting!$I$2:$I$47, "")</f>
        <v>3</v>
      </c>
    </row>
    <row r="9" spans="2:20" x14ac:dyDescent="0.45">
      <c r="B9" t="s">
        <v>195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17">
        <v>3.1758000000000002</v>
      </c>
      <c r="I9" t="s">
        <v>123</v>
      </c>
      <c r="J9">
        <v>372.8</v>
      </c>
      <c r="K9" s="57">
        <v>45</v>
      </c>
      <c r="L9" t="s">
        <v>40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_xlfn.XLOOKUP(Hel_SpecSheet!D9, Setting!$H$2:$H$47, Setting!$I$2:$I$47, "")</f>
        <v>3</v>
      </c>
    </row>
    <row r="10" spans="2:20" x14ac:dyDescent="0.45">
      <c r="B10" t="s">
        <v>196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17">
        <v>3.2532999999999999</v>
      </c>
      <c r="I10" t="s">
        <v>124</v>
      </c>
      <c r="J10">
        <v>372.6</v>
      </c>
      <c r="K10" s="57">
        <v>45.3</v>
      </c>
      <c r="L10" t="s">
        <v>40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_xlfn.XLOOKUP(Hel_SpecSheet!D10, Setting!$H$2:$H$47, Setting!$I$2:$I$47, "")</f>
        <v>3</v>
      </c>
    </row>
    <row r="11" spans="2:20" x14ac:dyDescent="0.45">
      <c r="B11" t="s">
        <v>197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17">
        <v>6.226</v>
      </c>
      <c r="I11" t="s">
        <v>122</v>
      </c>
      <c r="J11">
        <v>373.4</v>
      </c>
      <c r="K11" s="57">
        <v>44.7</v>
      </c>
      <c r="L11" t="s">
        <v>40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_xlfn.XLOOKUP(Hel_SpecSheet!D11, Setting!$H$2:$H$47, Setting!$I$2:$I$47, "")</f>
        <v>3</v>
      </c>
    </row>
    <row r="12" spans="2:20" x14ac:dyDescent="0.45">
      <c r="B12" t="s">
        <v>198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17">
        <v>6.6151999999999997</v>
      </c>
      <c r="I12" t="s">
        <v>123</v>
      </c>
      <c r="J12">
        <v>372.8</v>
      </c>
      <c r="K12" s="57">
        <v>45</v>
      </c>
      <c r="L12" t="s">
        <v>40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_xlfn.XLOOKUP(Hel_SpecSheet!D12, Setting!$H$2:$H$47, Setting!$I$2:$I$47, "")</f>
        <v>3</v>
      </c>
    </row>
    <row r="13" spans="2:20" x14ac:dyDescent="0.45">
      <c r="B13" t="s">
        <v>199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17">
        <v>6.2907999999999999</v>
      </c>
      <c r="I13" t="s">
        <v>124</v>
      </c>
      <c r="J13">
        <v>372.6</v>
      </c>
      <c r="K13" s="57">
        <v>45.3</v>
      </c>
      <c r="L13" t="s">
        <v>40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_xlfn.XLOOKUP(Hel_SpecSheet!D13, Setting!$H$2:$H$47, Setting!$I$2:$I$47, "")</f>
        <v>3</v>
      </c>
    </row>
    <row r="14" spans="2:20" x14ac:dyDescent="0.45">
      <c r="B14" t="s">
        <v>200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17">
        <v>5.7072000000000003</v>
      </c>
      <c r="I14" t="s">
        <v>122</v>
      </c>
      <c r="J14">
        <v>394.3</v>
      </c>
      <c r="K14" s="57">
        <v>43.9</v>
      </c>
      <c r="L14" t="s">
        <v>164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_xlfn.XLOOKUP(Hel_SpecSheet!D14, Setting!$H$2:$H$47, Setting!$I$2:$I$47, "")</f>
        <v>2.7</v>
      </c>
    </row>
    <row r="15" spans="2:20" x14ac:dyDescent="0.45">
      <c r="B15" t="s">
        <v>201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17">
        <v>5.6422999999999996</v>
      </c>
      <c r="I15" t="s">
        <v>123</v>
      </c>
      <c r="J15">
        <v>392.7</v>
      </c>
      <c r="K15" s="57">
        <v>44.1</v>
      </c>
      <c r="L15" t="s">
        <v>164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_xlfn.XLOOKUP(Hel_SpecSheet!D15, Setting!$H$2:$H$47, Setting!$I$2:$I$47, "")</f>
        <v>2.7</v>
      </c>
    </row>
    <row r="16" spans="2:20" x14ac:dyDescent="0.45">
      <c r="B16" t="s">
        <v>202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17">
        <v>5.3829000000000002</v>
      </c>
      <c r="I16" t="s">
        <v>124</v>
      </c>
      <c r="J16">
        <v>392.1</v>
      </c>
      <c r="K16" s="57">
        <v>44.3</v>
      </c>
      <c r="L16" t="s">
        <v>164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_xlfn.XLOOKUP(Hel_SpecSheet!D16, Setting!$H$2:$H$47, Setting!$I$2:$I$47, "")</f>
        <v>2.7</v>
      </c>
    </row>
    <row r="17" spans="2:20" x14ac:dyDescent="0.45">
      <c r="B17" t="s">
        <v>203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17">
        <v>6.6820000000000004</v>
      </c>
      <c r="I17" t="s">
        <v>122</v>
      </c>
      <c r="J17">
        <v>394.3</v>
      </c>
      <c r="K17" s="57">
        <v>43.9</v>
      </c>
      <c r="L17" t="s">
        <v>164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_xlfn.XLOOKUP(Hel_SpecSheet!D17, Setting!$H$2:$H$47, Setting!$I$2:$I$47, "")</f>
        <v>2.7</v>
      </c>
    </row>
    <row r="18" spans="2:20" x14ac:dyDescent="0.45">
      <c r="B18" t="s">
        <v>204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17">
        <v>7.1988000000000003</v>
      </c>
      <c r="I18" t="s">
        <v>123</v>
      </c>
      <c r="J18">
        <v>392.7</v>
      </c>
      <c r="K18" s="57">
        <v>44.1</v>
      </c>
      <c r="L18" t="s">
        <v>164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_xlfn.XLOOKUP(Hel_SpecSheet!D18, Setting!$H$2:$H$47, Setting!$I$2:$I$47, "")</f>
        <v>2.7</v>
      </c>
    </row>
    <row r="19" spans="2:20" x14ac:dyDescent="0.45">
      <c r="B19" t="s">
        <v>205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17">
        <v>7.0042999999999997</v>
      </c>
      <c r="I19" t="s">
        <v>124</v>
      </c>
      <c r="J19">
        <v>392.1</v>
      </c>
      <c r="K19" s="57">
        <v>44.3</v>
      </c>
      <c r="L19" t="s">
        <v>164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_xlfn.XLOOKUP(Hel_SpecSheet!D19, Setting!$H$2:$H$47, Setting!$I$2:$I$47, "")</f>
        <v>2.7</v>
      </c>
    </row>
    <row r="20" spans="2:20" x14ac:dyDescent="0.45">
      <c r="B20" t="s">
        <v>206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17">
        <v>6.6849999999999996</v>
      </c>
      <c r="I20" t="s">
        <v>122</v>
      </c>
      <c r="J20">
        <v>394.3</v>
      </c>
      <c r="K20" s="57">
        <v>43.9</v>
      </c>
      <c r="L20" t="s">
        <v>164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_xlfn.XLOOKUP(Hel_SpecSheet!D20, Setting!$H$2:$H$47, Setting!$I$2:$I$47, "")</f>
        <v>2.7</v>
      </c>
    </row>
    <row r="21" spans="2:20" x14ac:dyDescent="0.45">
      <c r="B21" t="s">
        <v>207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17">
        <v>6.2906000000000004</v>
      </c>
      <c r="I21" t="s">
        <v>123</v>
      </c>
      <c r="J21">
        <v>392.7</v>
      </c>
      <c r="K21" s="57">
        <v>44.1</v>
      </c>
      <c r="L21" t="s">
        <v>164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_xlfn.XLOOKUP(Hel_SpecSheet!D21, Setting!$H$2:$H$47, Setting!$I$2:$I$47, "")</f>
        <v>2.7</v>
      </c>
    </row>
    <row r="22" spans="2:20" x14ac:dyDescent="0.45">
      <c r="B22" t="s">
        <v>208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17">
        <v>6.2907999999999999</v>
      </c>
      <c r="I22" t="s">
        <v>124</v>
      </c>
      <c r="J22">
        <v>392.1</v>
      </c>
      <c r="K22" s="57">
        <v>44.3</v>
      </c>
      <c r="L22" t="s">
        <v>164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_xlfn.XLOOKUP(Hel_SpecSheet!D22, Setting!$H$2:$H$47, Setting!$I$2:$I$47, "")</f>
        <v>2.7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ignoredErrors>
    <ignoredError sqref="D2:D4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tabSelected="1" workbookViewId="0">
      <selection activeCell="O16" sqref="O16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61" t="s">
        <v>72</v>
      </c>
      <c r="B1" s="61"/>
      <c r="C1" s="61"/>
      <c r="D1" s="61"/>
      <c r="E1" s="61"/>
      <c r="F1" s="61"/>
      <c r="G1" s="62" t="s">
        <v>99</v>
      </c>
      <c r="H1" s="62"/>
      <c r="I1" s="62"/>
    </row>
    <row r="2" spans="1:9" ht="20.399999999999999" customHeight="1" x14ac:dyDescent="0.45">
      <c r="A2" s="64" t="s">
        <v>73</v>
      </c>
      <c r="B2" s="65"/>
      <c r="C2" s="63"/>
      <c r="D2" s="63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64" t="s">
        <v>75</v>
      </c>
      <c r="B3" s="65"/>
      <c r="C3" s="63"/>
      <c r="D3" s="63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64" t="s">
        <v>71</v>
      </c>
      <c r="B4" s="65"/>
      <c r="C4" s="63"/>
      <c r="D4" s="63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66" t="s">
        <v>78</v>
      </c>
      <c r="B6" s="67"/>
      <c r="C6" s="67"/>
      <c r="D6" s="68" t="s">
        <v>79</v>
      </c>
      <c r="E6" s="69"/>
      <c r="F6" s="69"/>
      <c r="G6" s="70"/>
      <c r="H6" s="59" t="s">
        <v>80</v>
      </c>
      <c r="I6" s="60"/>
    </row>
    <row r="7" spans="1:9" ht="26.4" customHeight="1" x14ac:dyDescent="0.45">
      <c r="A7" s="71" t="s">
        <v>81</v>
      </c>
      <c r="B7" s="71"/>
      <c r="C7" s="71"/>
      <c r="D7" s="71" t="s">
        <v>89</v>
      </c>
      <c r="E7" s="71"/>
      <c r="F7" s="71"/>
      <c r="G7" s="71"/>
      <c r="H7" s="72"/>
      <c r="I7" s="72"/>
    </row>
    <row r="8" spans="1:9" ht="26.4" customHeight="1" x14ac:dyDescent="0.45">
      <c r="A8" s="71" t="s">
        <v>82</v>
      </c>
      <c r="B8" s="71"/>
      <c r="C8" s="71"/>
      <c r="D8" s="73" t="s">
        <v>90</v>
      </c>
      <c r="E8" s="71"/>
      <c r="F8" s="71"/>
      <c r="G8" s="71"/>
      <c r="H8" s="72"/>
      <c r="I8" s="72"/>
    </row>
    <row r="9" spans="1:9" ht="26.4" customHeight="1" x14ac:dyDescent="0.45">
      <c r="A9" s="71" t="s">
        <v>83</v>
      </c>
      <c r="B9" s="71"/>
      <c r="C9" s="71"/>
      <c r="D9" s="73" t="s">
        <v>91</v>
      </c>
      <c r="E9" s="71"/>
      <c r="F9" s="71"/>
      <c r="G9" s="71"/>
      <c r="H9" s="72"/>
      <c r="I9" s="72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74" t="s">
        <v>95</v>
      </c>
      <c r="C11" s="75"/>
      <c r="D11" s="76"/>
      <c r="E11" s="44"/>
      <c r="F11" s="86"/>
      <c r="G11" s="75"/>
      <c r="H11" s="75"/>
      <c r="I11" s="76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87" t="s">
        <v>86</v>
      </c>
      <c r="B13" s="74" t="s">
        <v>96</v>
      </c>
      <c r="C13" s="75"/>
      <c r="D13" s="76"/>
      <c r="E13" s="45"/>
      <c r="F13" s="77"/>
      <c r="G13" s="78"/>
      <c r="H13" s="78"/>
      <c r="I13" s="79"/>
    </row>
    <row r="14" spans="1:9" ht="45.3" customHeight="1" x14ac:dyDescent="0.45">
      <c r="A14" s="87"/>
      <c r="B14" s="74" t="s">
        <v>97</v>
      </c>
      <c r="C14" s="75"/>
      <c r="D14" s="76"/>
      <c r="E14" s="46" t="s">
        <v>101</v>
      </c>
      <c r="F14" s="80"/>
      <c r="G14" s="81"/>
      <c r="H14" s="81"/>
      <c r="I14" s="82"/>
    </row>
    <row r="15" spans="1:9" ht="45.3" customHeight="1" x14ac:dyDescent="0.45">
      <c r="A15" s="87"/>
      <c r="B15" s="74" t="s">
        <v>98</v>
      </c>
      <c r="C15" s="75"/>
      <c r="D15" s="76"/>
      <c r="E15" s="36" t="s">
        <v>93</v>
      </c>
      <c r="F15" s="83"/>
      <c r="G15" s="84"/>
      <c r="H15" s="84"/>
      <c r="I15" s="85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87" t="s">
        <v>87</v>
      </c>
      <c r="B17" s="74" t="s">
        <v>96</v>
      </c>
      <c r="C17" s="75"/>
      <c r="D17" s="76"/>
      <c r="E17" s="45"/>
      <c r="F17" s="77"/>
      <c r="G17" s="78"/>
      <c r="H17" s="78"/>
      <c r="I17" s="79"/>
    </row>
    <row r="18" spans="1:9" ht="45.3" customHeight="1" x14ac:dyDescent="0.45">
      <c r="A18" s="87"/>
      <c r="B18" s="74" t="s">
        <v>97</v>
      </c>
      <c r="C18" s="75"/>
      <c r="D18" s="76"/>
      <c r="E18" s="46" t="s">
        <v>101</v>
      </c>
      <c r="F18" s="80"/>
      <c r="G18" s="81"/>
      <c r="H18" s="81"/>
      <c r="I18" s="82"/>
    </row>
    <row r="19" spans="1:9" ht="45.3" customHeight="1" x14ac:dyDescent="0.45">
      <c r="A19" s="87"/>
      <c r="B19" s="74" t="s">
        <v>98</v>
      </c>
      <c r="C19" s="75"/>
      <c r="D19" s="76"/>
      <c r="E19" s="36" t="s">
        <v>93</v>
      </c>
      <c r="F19" s="83"/>
      <c r="G19" s="84"/>
      <c r="H19" s="84"/>
      <c r="I19" s="85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  <mergeCell ref="A7:C7"/>
    <mergeCell ref="D7:G7"/>
    <mergeCell ref="H7:I7"/>
    <mergeCell ref="A8:C8"/>
    <mergeCell ref="D8:G8"/>
    <mergeCell ref="H8:I8"/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LOG_Helmet</vt:lpstr>
      <vt:lpstr>Setting</vt:lpstr>
      <vt:lpstr>Hel_SpecSheet</vt:lpstr>
      <vt:lpstr>InspectionSheet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2024-07-03T03:51:31Z</dcterms:modified>
</cp:coreProperties>
</file>