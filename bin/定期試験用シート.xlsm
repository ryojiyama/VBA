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558C33F3-250B-4CFE-9BF2-64CDA6296A7C}" xr6:coauthVersionLast="47" xr6:coauthVersionMax="47" xr10:uidLastSave="{00000000-0000-0000-0000-000000000000}"/>
  <bookViews>
    <workbookView xWindow="1152" yWindow="648" windowWidth="24012" windowHeight="23196" xr2:uid="{11E88E8F-BE23-498B-AC57-3C0FE90AFFB0}"/>
  </bookViews>
  <sheets>
    <sheet name="LOG_Helmet" sheetId="541" r:id="rId1"/>
    <sheet name="Setting" sheetId="8" r:id="rId2"/>
    <sheet name="Hel_SpecSheet" sheetId="354" r:id="rId3"/>
    <sheet name="InspectionSheet" sheetId="141" r:id="rId4"/>
    <sheet name="CopiedSheetNames" sheetId="493" r:id="rId5"/>
  </sheets>
  <functionGroups builtInGroupCount="19"/>
  <definedNames>
    <definedName name="_xlnm._FilterDatabase" localSheetId="0" hidden="1">LOG_Helmet!$A$1:$CSA$1</definedName>
    <definedName name="_xlnm.Print_Area" localSheetId="2">Hel_SpecSheet!$B$1:$L$1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354" l="1"/>
  <c r="T21" i="354"/>
  <c r="T20" i="354"/>
  <c r="T19" i="354"/>
  <c r="T18" i="354"/>
  <c r="T17" i="354"/>
  <c r="T16" i="354"/>
  <c r="T15" i="354"/>
  <c r="T14" i="354"/>
  <c r="T13" i="354"/>
  <c r="T12" i="354"/>
  <c r="T11" i="354"/>
  <c r="T10" i="354"/>
  <c r="T9" i="354"/>
  <c r="T8" i="354"/>
  <c r="T7" i="354"/>
  <c r="T6" i="354"/>
  <c r="T5" i="354"/>
  <c r="T4" i="354"/>
  <c r="T3" i="354"/>
  <c r="T2" i="354"/>
  <c r="S10" i="354"/>
  <c r="S11" i="354"/>
  <c r="S15" i="354"/>
  <c r="S9" i="354"/>
  <c r="S12" i="354"/>
  <c r="S8" i="354"/>
  <c r="S19" i="354"/>
  <c r="S13" i="354"/>
  <c r="S14" i="354"/>
  <c r="S7" i="354"/>
  <c r="S4" i="354"/>
  <c r="S5" i="354"/>
  <c r="S21" i="354"/>
  <c r="S6" i="354"/>
  <c r="S18" i="354"/>
  <c r="S20" i="354"/>
  <c r="S16" i="354"/>
  <c r="S2" i="354"/>
  <c r="S22" i="354"/>
  <c r="S17" i="354"/>
  <c r="S3" i="35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sharedStrings.xml><?xml version="1.0" encoding="utf-8"?>
<sst xmlns="http://schemas.openxmlformats.org/spreadsheetml/2006/main" count="701" uniqueCount="212">
  <si>
    <t>検査日</t>
    <rPh sb="0" eb="2">
      <t>ケンサ</t>
    </rPh>
    <rPh sb="2" eb="3">
      <t>ビ</t>
    </rPh>
    <phoneticPr fontId="2"/>
  </si>
  <si>
    <t>内装ロット</t>
    <rPh sb="0" eb="2">
      <t>ナイソウ</t>
    </rPh>
    <phoneticPr fontId="2"/>
  </si>
  <si>
    <t>温度</t>
    <rPh sb="0" eb="2">
      <t>オンド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</si>
  <si>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</si>
  <si>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</si>
  <si>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</si>
  <si>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</si>
  <si>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</si>
  <si>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</si>
  <si>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</si>
  <si>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</si>
  <si>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</si>
  <si>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</si>
  <si>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</si>
  <si>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</si>
  <si>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</si>
  <si>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</si>
  <si>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</si>
  <si>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</si>
  <si>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</si>
  <si>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</si>
  <si>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</si>
  <si>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</si>
  <si>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</si>
  <si>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</si>
  <si>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</si>
  <si>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</si>
  <si>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</si>
  <si>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</si>
  <si>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</si>
  <si>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</si>
  <si>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</si>
  <si>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</si>
  <si>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</si>
  <si>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</si>
  <si>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</si>
  <si>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</si>
  <si>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</si>
  <si>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</si>
  <si>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</si>
  <si>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</si>
  <si>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</si>
  <si>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</si>
  <si>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</si>
  <si>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</si>
  <si>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</si>
  <si>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</si>
  <si>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</si>
  <si>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</si>
  <si>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</si>
  <si>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</si>
  <si>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</si>
  <si>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</si>
  <si>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</si>
  <si>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</si>
  <si>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</si>
  <si>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</si>
  <si>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</si>
  <si>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</si>
  <si>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</si>
  <si>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</si>
  <si>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</si>
  <si>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</si>
  <si>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</si>
  <si>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</si>
  <si>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</si>
  <si>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</si>
  <si>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</si>
  <si>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</si>
  <si>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</si>
  <si>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</si>
  <si>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製造ロット</t>
    <rPh sb="0" eb="2">
      <t>セイゾウ</t>
    </rPh>
    <phoneticPr fontId="2"/>
  </si>
  <si>
    <t>保護帽　社内型式検定試験票</t>
    <phoneticPr fontId="2"/>
  </si>
  <si>
    <t>試験内容</t>
    <rPh sb="0" eb="4">
      <t>シケn</t>
    </rPh>
    <phoneticPr fontId="2"/>
  </si>
  <si>
    <t>検査日</t>
    <rPh sb="0" eb="2">
      <t>ケンサ</t>
    </rPh>
    <rPh sb="2" eb="3">
      <t>h</t>
    </rPh>
    <phoneticPr fontId="2"/>
  </si>
  <si>
    <t>品番・色</t>
    <rPh sb="0" eb="2">
      <t>ヒンバ</t>
    </rPh>
    <rPh sb="3" eb="4">
      <t>イロ</t>
    </rPh>
    <phoneticPr fontId="2"/>
  </si>
  <si>
    <t>製品重量</t>
    <rPh sb="0" eb="4">
      <t>セイヒn</t>
    </rPh>
    <phoneticPr fontId="2"/>
  </si>
  <si>
    <t>帽体ロット</t>
    <rPh sb="0" eb="2">
      <t>ボウ</t>
    </rPh>
    <phoneticPr fontId="2"/>
  </si>
  <si>
    <t>検査項目</t>
    <rPh sb="0" eb="4">
      <t>ケンサ</t>
    </rPh>
    <phoneticPr fontId="2"/>
  </si>
  <si>
    <t>判定基準</t>
    <rPh sb="0" eb="4">
      <t>ハンテイ</t>
    </rPh>
    <phoneticPr fontId="2"/>
  </si>
  <si>
    <t>検査結果</t>
    <rPh sb="0" eb="4">
      <t>ケンサ</t>
    </rPh>
    <phoneticPr fontId="2"/>
  </si>
  <si>
    <t>構造</t>
    <rPh sb="0" eb="2">
      <t>コウゾウ</t>
    </rPh>
    <phoneticPr fontId="2"/>
  </si>
  <si>
    <t>耐貫通試験</t>
    <rPh sb="1" eb="5">
      <t>カンツウ</t>
    </rPh>
    <phoneticPr fontId="2"/>
  </si>
  <si>
    <t>衝撃吸収試験</t>
    <rPh sb="0" eb="6">
      <t>ショウゲキ</t>
    </rPh>
    <phoneticPr fontId="2"/>
  </si>
  <si>
    <t>波形グラフ</t>
    <rPh sb="0" eb="2">
      <t>ハケイ</t>
    </rPh>
    <phoneticPr fontId="2"/>
  </si>
  <si>
    <t>天頂部</t>
    <rPh sb="0" eb="3">
      <t>テンチョウ</t>
    </rPh>
    <phoneticPr fontId="2"/>
  </si>
  <si>
    <t>前頭部</t>
    <rPh sb="0" eb="1">
      <t>ゼントウ</t>
    </rPh>
    <phoneticPr fontId="2"/>
  </si>
  <si>
    <t>後頭部</t>
    <rPh sb="0" eb="3">
      <t>コウトウ</t>
    </rPh>
    <phoneticPr fontId="2"/>
  </si>
  <si>
    <t>天頂すき間
(肉厚除く)</t>
    <rPh sb="0" eb="2">
      <t xml:space="preserve">テンチョウ </t>
    </rPh>
    <rPh sb="4" eb="5">
      <t>スキ</t>
    </rPh>
    <rPh sb="7" eb="9">
      <t>ニクアツ</t>
    </rPh>
    <rPh sb="9" eb="10">
      <t>ノゾ</t>
    </rPh>
    <phoneticPr fontId="2"/>
  </si>
  <si>
    <t>「標準見本」との照合</t>
    <rPh sb="1" eb="3">
      <t>ヒョウジュn</t>
    </rPh>
    <rPh sb="3" eb="5">
      <t>ミホn</t>
    </rPh>
    <rPh sb="8" eb="10">
      <t>ショウゴウ</t>
    </rPh>
    <phoneticPr fontId="2"/>
  </si>
  <si>
    <t>厚生労働省『保護帽の規格』</t>
    <rPh sb="0" eb="5">
      <t>コウセイロウドウ</t>
    </rPh>
    <rPh sb="6" eb="9">
      <t>ホゴボウ</t>
    </rPh>
    <rPh sb="10" eb="12">
      <t>キカク</t>
    </rPh>
    <phoneticPr fontId="2"/>
  </si>
  <si>
    <t>厚生労働省『保護帽の規格』</t>
    <phoneticPr fontId="2"/>
  </si>
  <si>
    <t>備考</t>
    <rPh sb="0" eb="2">
      <t>ビコウ</t>
    </rPh>
    <phoneticPr fontId="2"/>
  </si>
  <si>
    <t>※品質管理部で10年間保管</t>
    <rPh sb="1" eb="7">
      <t>ヒン</t>
    </rPh>
    <rPh sb="10" eb="11">
      <t>カン</t>
    </rPh>
    <rPh sb="11" eb="13">
      <t>ホカン</t>
    </rPh>
    <phoneticPr fontId="2"/>
  </si>
  <si>
    <r>
      <rPr>
        <b/>
        <sz val="12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4.90kN以下</t>
    </r>
    <rPh sb="0" eb="3">
      <t>ショウゲキ</t>
    </rPh>
    <rPh sb="11" eb="13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</si>
  <si>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9.81kN以下</t>
    </r>
    <rPh sb="0" eb="3">
      <t>ショウゲキ</t>
    </rPh>
    <rPh sb="10" eb="12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</si>
  <si>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4.90kN 継続時間</t>
    </r>
    <r>
      <rPr>
        <sz val="10"/>
        <color theme="1"/>
        <rFont val="游ゴシック"/>
        <family val="2"/>
        <charset val="128"/>
        <scheme val="minor"/>
      </rPr>
      <t xml:space="preserve">
3ms以下</t>
    </r>
    <rPh sb="15" eb="17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</si>
  <si>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7.35kN 継続時間</t>
    </r>
    <r>
      <rPr>
        <sz val="10"/>
        <color theme="1"/>
        <rFont val="游ゴシック"/>
        <family val="2"/>
        <charset val="128"/>
        <scheme val="minor"/>
      </rPr>
      <t xml:space="preserve">
4.5ms以下</t>
    </r>
    <rPh sb="17" eb="19">
      <t>イカ</t>
    </rPh>
    <phoneticPr fontId="2"/>
  </si>
  <si>
    <t>様品ＡⅡＱ－０９－１４－０３</t>
    <phoneticPr fontId="2"/>
  </si>
  <si>
    <t>※前処理：</t>
    <rPh sb="1" eb="4">
      <t>マエショリ</t>
    </rPh>
    <phoneticPr fontId="2"/>
  </si>
  <si>
    <t>試験ID(C)</t>
    <rPh sb="0" eb="2">
      <t>シケン</t>
    </rPh>
    <phoneticPr fontId="2"/>
  </si>
  <si>
    <t>試料No.</t>
    <rPh sb="0" eb="2">
      <t>シリョウ</t>
    </rPh>
    <phoneticPr fontId="2"/>
  </si>
  <si>
    <t>品番(D)</t>
    <rPh sb="0" eb="2">
      <t>ヒンバン</t>
    </rPh>
    <phoneticPr fontId="2"/>
  </si>
  <si>
    <t>試験位置(E)</t>
    <rPh sb="0" eb="2">
      <t>シケン</t>
    </rPh>
    <rPh sb="2" eb="4">
      <t>イチ</t>
    </rPh>
    <phoneticPr fontId="2"/>
  </si>
  <si>
    <t>検査日(F)</t>
    <rPh sb="0" eb="2">
      <t>ケンサ</t>
    </rPh>
    <rPh sb="2" eb="3">
      <t>ビ</t>
    </rPh>
    <phoneticPr fontId="2"/>
  </si>
  <si>
    <t>温度(G)</t>
    <rPh sb="0" eb="2">
      <t>オンド</t>
    </rPh>
    <phoneticPr fontId="2"/>
  </si>
  <si>
    <t>衝撃値(H)</t>
    <rPh sb="0" eb="3">
      <t>ショウゲキチ</t>
    </rPh>
    <phoneticPr fontId="2"/>
  </si>
  <si>
    <t>前処理(L)</t>
    <rPh sb="0" eb="3">
      <t>マエショリ</t>
    </rPh>
    <phoneticPr fontId="2"/>
  </si>
  <si>
    <t>重量(M)</t>
    <rPh sb="0" eb="2">
      <t>ジュウリョウ</t>
    </rPh>
    <phoneticPr fontId="2"/>
  </si>
  <si>
    <t>天頂すきま(N)</t>
    <rPh sb="0" eb="2">
      <t>テンチョウ</t>
    </rPh>
    <phoneticPr fontId="2"/>
  </si>
  <si>
    <t>帽体色(O)</t>
    <rPh sb="0" eb="2">
      <t>ボウタイ</t>
    </rPh>
    <rPh sb="2" eb="3">
      <t>ショク</t>
    </rPh>
    <phoneticPr fontId="2"/>
  </si>
  <si>
    <t>試験内容(U)</t>
    <rPh sb="0" eb="2">
      <t>シケン</t>
    </rPh>
    <rPh sb="2" eb="4">
      <t>ナイヨウ</t>
    </rPh>
    <phoneticPr fontId="2"/>
  </si>
  <si>
    <t>製造ロット(P)</t>
    <rPh sb="0" eb="2">
      <t>セイゾウ</t>
    </rPh>
    <phoneticPr fontId="2"/>
  </si>
  <si>
    <t>帽体ロット(Q)</t>
    <rPh sb="0" eb="2">
      <t>ボウタイ</t>
    </rPh>
    <phoneticPr fontId="2"/>
  </si>
  <si>
    <t>内装ロット(R)</t>
    <rPh sb="0" eb="2">
      <t>ナイソウ</t>
    </rPh>
    <phoneticPr fontId="2"/>
  </si>
  <si>
    <t>構造/結果(S)</t>
    <rPh sb="0" eb="2">
      <t>コウゾウ</t>
    </rPh>
    <rPh sb="3" eb="5">
      <t>ケッカ</t>
    </rPh>
    <phoneticPr fontId="2"/>
  </si>
  <si>
    <t>耐貫通/結果(U)</t>
    <rPh sb="0" eb="1">
      <t>タイ</t>
    </rPh>
    <rPh sb="1" eb="3">
      <t>カンツウ</t>
    </rPh>
    <rPh sb="4" eb="6">
      <t>ケッカ</t>
    </rPh>
    <phoneticPr fontId="2"/>
  </si>
  <si>
    <t>変換した値</t>
    <rPh sb="0" eb="2">
      <t>ヘンカ</t>
    </rPh>
    <rPh sb="4" eb="5">
      <t>アタイ</t>
    </rPh>
    <phoneticPr fontId="2"/>
  </si>
  <si>
    <t>天頂肉厚</t>
    <rPh sb="0" eb="2">
      <t>テンチョウ</t>
    </rPh>
    <rPh sb="2" eb="4">
      <t>ニクアツ</t>
    </rPh>
    <phoneticPr fontId="2"/>
  </si>
  <si>
    <t>天頂</t>
    <rPh sb="0" eb="2">
      <t>テンチョウ</t>
    </rPh>
    <phoneticPr fontId="2"/>
  </si>
  <si>
    <t>高温</t>
    <rPh sb="0" eb="2">
      <t>コウオン</t>
    </rPh>
    <phoneticPr fontId="2"/>
  </si>
  <si>
    <t>低温</t>
    <rPh sb="0" eb="2">
      <t>テイオン</t>
    </rPh>
    <phoneticPr fontId="2"/>
  </si>
  <si>
    <t>浸せき</t>
    <rPh sb="0" eb="1">
      <t>シン</t>
    </rPh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</si>
  <si>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</si>
  <si>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</si>
  <si>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</si>
  <si>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</si>
  <si>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</si>
  <si>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</si>
  <si>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</si>
  <si>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前頭部</t>
    <rPh sb="0" eb="3">
      <t>ゼントウブ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</si>
  <si>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</si>
  <si>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</si>
  <si>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</si>
  <si>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</si>
  <si>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合格</t>
  </si>
  <si>
    <t>後頭部</t>
    <rPh sb="0" eb="3">
      <t>コウトウブ</t>
    </rPh>
    <phoneticPr fontId="2"/>
  </si>
  <si>
    <t>ID</t>
  </si>
  <si>
    <t>試料ID</t>
  </si>
  <si>
    <t>品番</t>
  </si>
  <si>
    <t>試験内容</t>
  </si>
  <si>
    <t>検査日</t>
  </si>
  <si>
    <t>温度</t>
  </si>
  <si>
    <t>最大値(kN)</t>
  </si>
  <si>
    <t>最大値の時間(ms)</t>
  </si>
  <si>
    <t>4.9kNの継続時間</t>
  </si>
  <si>
    <t>7.3kNの継続時間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</si>
  <si>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</si>
  <si>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</si>
  <si>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</si>
  <si>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</si>
  <si>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</si>
  <si>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</si>
  <si>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</si>
  <si>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</si>
  <si>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</si>
  <si>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</si>
  <si>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110F</t>
    <phoneticPr fontId="2"/>
  </si>
  <si>
    <t>300</t>
    <phoneticPr fontId="2"/>
  </si>
  <si>
    <t>240528-2</t>
  </si>
  <si>
    <t>191219A</t>
    <phoneticPr fontId="2"/>
  </si>
  <si>
    <t>OH240328</t>
    <phoneticPr fontId="2"/>
  </si>
  <si>
    <t>うす黄</t>
    <rPh sb="2" eb="3">
      <t>キ</t>
    </rPh>
    <phoneticPr fontId="2"/>
  </si>
  <si>
    <t>240328A</t>
    <phoneticPr fontId="2"/>
  </si>
  <si>
    <t>OH240501</t>
    <phoneticPr fontId="2"/>
  </si>
  <si>
    <t>300-Hot-天</t>
  </si>
  <si>
    <t>300-Cold-天</t>
  </si>
  <si>
    <t>300-Wet-天</t>
  </si>
  <si>
    <t>F300F-Hot-天</t>
  </si>
  <si>
    <t>F300F-Cold-天</t>
  </si>
  <si>
    <t>F300F-Wet-天</t>
  </si>
  <si>
    <t>F300F-Hot-前</t>
  </si>
  <si>
    <t>F300F-Cold-前</t>
  </si>
  <si>
    <t>F300F-Wet-前</t>
  </si>
  <si>
    <t>F300F-Hot-後</t>
  </si>
  <si>
    <t>F300F-Cold-後</t>
  </si>
  <si>
    <t>F300F-Wet-後</t>
  </si>
  <si>
    <t>F170SF-Hot-天</t>
  </si>
  <si>
    <t>F170SF-Cold-天</t>
  </si>
  <si>
    <t>F170SF-Wet-天</t>
  </si>
  <si>
    <t>F170SF-Hot-前</t>
  </si>
  <si>
    <t>F170SF-Cold-前</t>
  </si>
  <si>
    <t>F170SF-Wet-前</t>
  </si>
  <si>
    <t>F170SF-Hot-後</t>
  </si>
  <si>
    <t>F170SF-Cold-後</t>
  </si>
  <si>
    <t>F170SF-Wet-後</t>
  </si>
  <si>
    <t>300F</t>
  </si>
  <si>
    <t>Changed</t>
  </si>
  <si>
    <t>定期試験</t>
    <rPh sb="0" eb="4">
      <t>テイキ</t>
    </rPh>
    <phoneticPr fontId="2"/>
  </si>
  <si>
    <t>天頂</t>
  </si>
  <si>
    <t>高温</t>
  </si>
  <si>
    <t>赤</t>
  </si>
  <si>
    <t>低温</t>
  </si>
  <si>
    <t>浸せき</t>
  </si>
  <si>
    <t>前頭部</t>
  </si>
  <si>
    <t>後頭部</t>
  </si>
  <si>
    <t>01-300-天-Hot-OthClr</t>
  </si>
  <si>
    <t>合格</t>
    <rPh sb="0" eb="2">
      <t>ゴウカク</t>
    </rPh>
    <phoneticPr fontId="2"/>
  </si>
  <si>
    <t>定期</t>
  </si>
  <si>
    <t>02-300-天-Cold-OthClr</t>
  </si>
  <si>
    <t>03-300-天-Wet-OthClr</t>
  </si>
  <si>
    <t>04-300F-天-Hot-OthClr</t>
  </si>
  <si>
    <t>05-300F-天-Cold-OthClr</t>
  </si>
  <si>
    <t>06-300F-天-Wet-OthClr</t>
  </si>
  <si>
    <t>04-300F-前-Hot-OthClr</t>
  </si>
  <si>
    <t>05-300F-前-Cold-OthClr</t>
  </si>
  <si>
    <t>06-300F-前-Wet-OthClr</t>
  </si>
  <si>
    <t>04-300F-後-Hot-OthClr</t>
  </si>
  <si>
    <t>05-300F-後-Cold-OthClr</t>
  </si>
  <si>
    <t>01-300-天-Hot-OthClr</t>
    <phoneticPr fontId="2"/>
  </si>
  <si>
    <t>04-300F-前-Hot-OthClr</t>
    <phoneticPr fontId="2"/>
  </si>
  <si>
    <t>―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</si>
</sst>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\ &quot;ms&quot;"/>
    <numFmt numFmtId="183" formatCode="0.00&quot; kN&quot;"/>
    <numFmt numFmtId="184" formatCode="0.00\ &quot;kN&quot;"/>
    <numFmt numFmtId="185" formatCode="0.0\ &quot;mm&quot;"/>
    <numFmt numFmtId="186" formatCode="0&quot; ℃&quot;"/>
    <numFmt numFmtId="187" formatCode="0.0_ "/>
  </numFmts>
  <fonts count="18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0" tint="-4.9989318521683403E-2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2"/>
      <color theme="1"/>
      <name val="游明朝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FF6F38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92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180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79" fontId="7" fillId="2" borderId="0" xfId="0" applyNumberFormat="1" applyFont="1" applyFill="1">
      <alignment vertical="center"/>
    </xf>
    <xf numFmtId="182" fontId="7" fillId="2" borderId="0" xfId="0" applyNumberFormat="1" applyFont="1" applyFill="1">
      <alignment vertical="center"/>
    </xf>
    <xf numFmtId="180" fontId="7" fillId="2" borderId="0" xfId="0" applyNumberFormat="1" applyFont="1" applyFill="1">
      <alignment vertical="center"/>
    </xf>
    <xf numFmtId="185" fontId="7" fillId="2" borderId="0" xfId="0" applyNumberFormat="1" applyFont="1" applyFill="1">
      <alignment vertical="center"/>
    </xf>
    <xf numFmtId="0" fontId="7" fillId="2" borderId="0" xfId="0" applyFont="1" applyFill="1" applyAlignment="1">
      <alignment horizontal="center" vertical="center"/>
    </xf>
    <xf numFmtId="178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7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76" fontId="6" fillId="0" borderId="0" xfId="0" applyNumberFormat="1" applyFont="1">
      <alignment vertical="center"/>
    </xf>
    <xf numFmtId="181" fontId="6" fillId="0" borderId="0" xfId="0" applyNumberFormat="1" applyFont="1">
      <alignment vertical="center"/>
    </xf>
    <xf numFmtId="0" fontId="10" fillId="0" borderId="0" xfId="1" applyFont="1">
      <alignment vertical="center"/>
    </xf>
    <xf numFmtId="0" fontId="13" fillId="0" borderId="1" xfId="1" applyFont="1" applyBorder="1" applyAlignment="1">
      <alignment vertical="center" textRotation="255"/>
    </xf>
    <xf numFmtId="0" fontId="10" fillId="0" borderId="4" xfId="1" applyFont="1" applyBorder="1">
      <alignment vertical="center"/>
    </xf>
    <xf numFmtId="0" fontId="10" fillId="0" borderId="5" xfId="1" applyFont="1" applyBorder="1">
      <alignment vertical="center"/>
    </xf>
    <xf numFmtId="0" fontId="10" fillId="0" borderId="6" xfId="1" applyFont="1" applyBorder="1">
      <alignment vertical="center"/>
    </xf>
    <xf numFmtId="0" fontId="10" fillId="0" borderId="7" xfId="1" applyFont="1" applyBorder="1">
      <alignment vertical="center"/>
    </xf>
    <xf numFmtId="0" fontId="10" fillId="0" borderId="8" xfId="1" applyFont="1" applyBorder="1">
      <alignment vertical="center"/>
    </xf>
    <xf numFmtId="0" fontId="10" fillId="0" borderId="9" xfId="1" applyFont="1" applyBorder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15" fillId="0" borderId="4" xfId="1" applyFont="1" applyBorder="1">
      <alignment vertical="center"/>
    </xf>
    <xf numFmtId="0" fontId="8" fillId="3" borderId="0" xfId="0" applyFont="1" applyFill="1">
      <alignment vertical="center"/>
    </xf>
    <xf numFmtId="0" fontId="4" fillId="2" borderId="0" xfId="0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184" fontId="5" fillId="2" borderId="0" xfId="0" applyNumberFormat="1" applyFont="1" applyFill="1">
      <alignment vertical="center"/>
    </xf>
    <xf numFmtId="0" fontId="14" fillId="4" borderId="0" xfId="0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0" borderId="0" xfId="1" applyFont="1" applyAlignment="1">
      <alignment horizontal="right" vertical="center"/>
    </xf>
    <xf numFmtId="0" fontId="10" fillId="6" borderId="1" xfId="1" applyFont="1" applyFill="1" applyBorder="1" applyAlignment="1">
      <alignment horizontal="center" vertical="center"/>
    </xf>
    <xf numFmtId="0" fontId="10" fillId="6" borderId="10" xfId="1" applyFont="1" applyFill="1" applyBorder="1" applyAlignment="1">
      <alignment horizontal="center" vertical="center"/>
    </xf>
    <xf numFmtId="0" fontId="16" fillId="6" borderId="1" xfId="1" applyFont="1" applyFill="1" applyBorder="1" applyAlignment="1">
      <alignment horizontal="center" vertical="center" wrapText="1"/>
    </xf>
    <xf numFmtId="0" fontId="15" fillId="0" borderId="0" xfId="1" applyFont="1">
      <alignment vertical="center"/>
    </xf>
    <xf numFmtId="0" fontId="10" fillId="0" borderId="12" xfId="1" applyFont="1" applyBorder="1">
      <alignment vertical="center"/>
    </xf>
    <xf numFmtId="0" fontId="10" fillId="0" borderId="13" xfId="1" applyFont="1" applyBorder="1">
      <alignment vertical="center"/>
    </xf>
    <xf numFmtId="184" fontId="11" fillId="0" borderId="1" xfId="1" applyNumberFormat="1" applyFont="1" applyBorder="1" applyAlignment="1">
      <alignment horizontal="center" vertical="center"/>
    </xf>
    <xf numFmtId="184" fontId="10" fillId="0" borderId="1" xfId="1" applyNumberFormat="1" applyFont="1" applyBorder="1" applyAlignment="1">
      <alignment horizontal="center" vertical="center"/>
    </xf>
    <xf numFmtId="182" fontId="10" fillId="0" borderId="1" xfId="1" applyNumberFormat="1" applyFont="1" applyBorder="1" applyAlignment="1">
      <alignment horizontal="center" vertical="center"/>
    </xf>
    <xf numFmtId="14" fontId="10" fillId="0" borderId="1" xfId="1" applyNumberFormat="1" applyFont="1" applyBorder="1" applyAlignment="1">
      <alignment horizontal="center" vertical="center"/>
    </xf>
    <xf numFmtId="186" fontId="10" fillId="0" borderId="10" xfId="1" applyNumberFormat="1" applyFont="1" applyBorder="1" applyAlignment="1">
      <alignment horizontal="center" vertical="center"/>
    </xf>
    <xf numFmtId="180" fontId="10" fillId="0" borderId="1" xfId="1" applyNumberFormat="1" applyFont="1" applyBorder="1" applyAlignment="1">
      <alignment horizontal="center" vertical="center"/>
    </xf>
    <xf numFmtId="185" fontId="10" fillId="0" borderId="1" xfId="1" applyNumberFormat="1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vertical="center" wrapText="1"/>
    </xf>
    <xf numFmtId="14" fontId="0" fillId="0" borderId="0" xfId="0" applyNumberFormat="1">
      <alignment vertical="center"/>
    </xf>
    <xf numFmtId="184" fontId="7" fillId="2" borderId="0" xfId="0" applyNumberFormat="1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4" fontId="0" fillId="0" borderId="0" xfId="0" applyNumberFormat="1">
      <alignment vertical="center"/>
    </xf>
    <xf numFmtId="187" fontId="0" fillId="0" borderId="0" xfId="0" applyNumberFormat="1" applyAlignment="1">
      <alignment horizontal="center" vertical="center"/>
    </xf>
    <xf numFmtId="14" fontId="6" fillId="0" borderId="0" xfId="0" applyNumberFormat="1" applyFon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187" fontId="6" fillId="0" borderId="0" xfId="0" applyNumberFormat="1" applyFont="1">
      <alignment vertical="center"/>
    </xf>
    <xf numFmtId="0" fontId="11" fillId="0" borderId="2" xfId="1" applyFont="1" applyBorder="1" applyAlignment="1">
      <alignment horizontal="center" vertical="center" wrapText="1"/>
    </xf>
    <xf numFmtId="0" fontId="10" fillId="0" borderId="11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0" fillId="0" borderId="1" xfId="1" applyFont="1" applyBorder="1" applyAlignment="1">
      <alignment horizontal="left" vertical="center"/>
    </xf>
    <xf numFmtId="0" fontId="10" fillId="0" borderId="1" xfId="1" applyFont="1" applyBorder="1" applyAlignment="1">
      <alignment horizontal="left" vertical="center" wrapText="1"/>
    </xf>
    <xf numFmtId="0" fontId="10" fillId="0" borderId="13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0" fillId="0" borderId="5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10" fillId="0" borderId="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 textRotation="255"/>
    </xf>
    <xf numFmtId="0" fontId="17" fillId="0" borderId="1" xfId="1" applyFont="1" applyBorder="1" applyAlignment="1">
      <alignment horizontal="center" vertical="center"/>
    </xf>
    <xf numFmtId="0" fontId="12" fillId="5" borderId="0" xfId="1" applyFont="1" applyFill="1" applyAlignment="1">
      <alignment horizontal="center" vertical="center"/>
    </xf>
    <xf numFmtId="0" fontId="12" fillId="5" borderId="5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15" fillId="0" borderId="1" xfId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6" borderId="2" xfId="1" applyFont="1" applyFill="1" applyBorder="1" applyAlignment="1">
      <alignment horizontal="center" vertical="center"/>
    </xf>
    <xf numFmtId="0" fontId="10" fillId="6" borderId="3" xfId="1" applyFont="1" applyFill="1" applyBorder="1" applyAlignment="1">
      <alignment horizontal="center" vertical="center"/>
    </xf>
    <xf numFmtId="0" fontId="12" fillId="5" borderId="4" xfId="1" applyFont="1" applyFill="1" applyBorder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2" fillId="5" borderId="6" xfId="1" applyFont="1" applyFill="1" applyBorder="1" applyAlignment="1">
      <alignment horizontal="left" vertical="center"/>
    </xf>
    <xf numFmtId="0" fontId="12" fillId="5" borderId="7" xfId="1" applyFont="1" applyFill="1" applyBorder="1" applyAlignment="1">
      <alignment horizontal="left" vertical="center"/>
    </xf>
    <xf numFmtId="0" fontId="12" fillId="5" borderId="8" xfId="1" applyFont="1" applyFill="1" applyBorder="1" applyAlignment="1">
      <alignment horizontal="left" vertical="center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13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12" Type="http://schemas.openxmlformats.org/officeDocument/2006/relationships/image" Target="../media/image18.svg"/><Relationship Id="rId2" Type="http://schemas.openxmlformats.org/officeDocument/2006/relationships/image" Target="../media/image12.svg"/><Relationship Id="rId1" Type="http://schemas.openxmlformats.org/officeDocument/2006/relationships/image" Target="../media/image3.png"/><Relationship Id="rId6" Type="http://schemas.openxmlformats.org/officeDocument/2006/relationships/image" Target="../media/image14.svg"/><Relationship Id="rId11" Type="http://schemas.openxmlformats.org/officeDocument/2006/relationships/image" Target="../media/image17.png"/><Relationship Id="rId5" Type="http://schemas.openxmlformats.org/officeDocument/2006/relationships/image" Target="../media/image5.png"/><Relationship Id="rId10" Type="http://schemas.openxmlformats.org/officeDocument/2006/relationships/image" Target="../media/image16.svg"/><Relationship Id="rId4" Type="http://schemas.openxmlformats.org/officeDocument/2006/relationships/image" Target="../media/image13.svg"/><Relationship Id="rId9" Type="http://schemas.openxmlformats.org/officeDocument/2006/relationships/image" Target="../media/image7.png"/><Relationship Id="rId14" Type="http://schemas.openxmlformats.org/officeDocument/2006/relationships/image" Target="../media/image20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47847E3B-EA12-4F72-A362-CE00CCDD1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F4FBF8F7-3921-4A93-8585-950DE13BE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F612F321-3C21-4E7E-B865-18AE14CBC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77A74D25-886B-43A3-A565-C1904AA9F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CB003FF5-7230-46D6-B200-609575A96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85746A70-18ED-4208-B127-79FAFEC73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2EF22AAD-A5A3-4861-8D0C-D0939BA37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65F8CB23-3213-40EA-9F39-D15A2732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CD6458A0-00B7-4CD5-AB4F-23EBACE3D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A7533A54-BA74-413A-B041-48FC3CE31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6D58197C-EDC4-444C-930E-5053F69A6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FF9FBDBF-C802-4691-BEB5-8719DCABD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49F086DE-09F6-4C33-A7C3-EBF7E9B81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6D4C58F6-F982-40EA-A83A-6438F503A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D8D22CF3-8E8D-434B-8FBA-6C60F972FFC1}"/>
            </a:ext>
          </a:extLst>
        </xdr:cNvPr>
        <xdr:cNvSpPr>
          <a:spLocks noChangeAspect="1" noChangeArrowheads="1"/>
        </xdr:cNvSpPr>
      </xdr:nvSpPr>
      <xdr:spPr bwMode="auto">
        <a:xfrm>
          <a:off x="942340" y="8255000"/>
          <a:ext cx="50749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F5743A8C-3564-4BCD-AEE1-AD57975A7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F7C7A-31D7-4FDF-97A9-41E2E5936BDD}">
  <sheetPr codeName="Sheet9"/>
  <dimension ref="A1:CSC12"/>
  <sheetViews>
    <sheetView tabSelected="1" zoomScaleNormal="100" workbookViewId="0">
      <selection activeCell="D29" sqref="D29"/>
    </sheetView>
  </sheetViews>
  <sheetFormatPr defaultColWidth="8.796875" defaultRowHeight="18" customHeight="1" x14ac:dyDescent="0.45"/>
  <cols>
    <col min="1" max="1" width="20.69921875" style="14" customWidth="1"/>
    <col min="2" max="2" width="31.09765625" style="5" customWidth="1"/>
    <col min="3" max="3" width="23.69921875" style="5" bestFit="1" customWidth="1"/>
    <col min="4" max="4" width="7.19921875" style="5" bestFit="1" customWidth="1"/>
    <col min="5" max="5" width="12.09765625" style="15" bestFit="1" customWidth="1"/>
    <col min="6" max="6" width="11.796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796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296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19" width="10.19921875" style="5" bestFit="1" customWidth="1"/>
    <col min="20" max="20" width="10.296875" style="5" bestFit="1" customWidth="1"/>
    <col min="21" max="21" width="12.09765625" style="5" customWidth="1"/>
    <col min="22" max="28" width="10.19921875" style="5" bestFit="1" customWidth="1"/>
    <col min="29" max="29" width="10.296875" style="5" bestFit="1" customWidth="1"/>
    <col min="30" max="31" width="10.19921875" style="5" bestFit="1" customWidth="1"/>
    <col min="32" max="32" width="10.296875" style="5" bestFit="1" customWidth="1"/>
    <col min="33" max="33" width="10.19921875" style="5" bestFit="1" customWidth="1"/>
    <col min="34" max="36" width="10.296875" style="5" bestFit="1" customWidth="1"/>
    <col min="37" max="41" width="10.19921875" style="5" bestFit="1" customWidth="1"/>
    <col min="42" max="42" width="10.296875" style="5" bestFit="1" customWidth="1"/>
    <col min="43" max="50" width="10.19921875" style="5" bestFit="1" customWidth="1"/>
    <col min="51" max="51" width="10.296875" style="5" bestFit="1" customWidth="1"/>
    <col min="52" max="56" width="10.19921875" style="5" bestFit="1" customWidth="1"/>
    <col min="57" max="57" width="10.296875" style="5" bestFit="1" customWidth="1"/>
    <col min="58" max="62" width="10.19921875" style="5" bestFit="1" customWidth="1"/>
    <col min="63" max="63" width="10.296875" style="5" bestFit="1" customWidth="1"/>
    <col min="64" max="66" width="10.19921875" style="5" bestFit="1" customWidth="1"/>
    <col min="67" max="67" width="10.296875" style="5" bestFit="1" customWidth="1"/>
    <col min="68" max="71" width="10.19921875" style="5" bestFit="1" customWidth="1"/>
    <col min="72" max="72" width="10.296875" style="5" bestFit="1" customWidth="1"/>
    <col min="73" max="75" width="10.19921875" style="5" bestFit="1" customWidth="1"/>
    <col min="76" max="76" width="10.296875" style="5" bestFit="1" customWidth="1"/>
    <col min="77" max="79" width="10.19921875" style="5" bestFit="1" customWidth="1"/>
    <col min="80" max="80" width="10.296875" style="5" bestFit="1" customWidth="1"/>
    <col min="81" max="83" width="10.19921875" style="5" bestFit="1" customWidth="1"/>
    <col min="84" max="84" width="10.296875" style="5" bestFit="1" customWidth="1"/>
    <col min="85" max="87" width="10.19921875" style="5" bestFit="1" customWidth="1"/>
    <col min="88" max="88" width="10.296875" style="5" bestFit="1" customWidth="1"/>
    <col min="89" max="89" width="10.19921875" style="5" bestFit="1" customWidth="1"/>
    <col min="90" max="90" width="10.296875" style="5" bestFit="1" customWidth="1"/>
    <col min="91" max="98" width="10.19921875" style="5" bestFit="1" customWidth="1"/>
    <col min="99" max="99" width="10.296875" style="5" bestFit="1" customWidth="1"/>
    <col min="100" max="102" width="10.19921875" style="5" bestFit="1" customWidth="1"/>
    <col min="103" max="103" width="10.296875" style="5" bestFit="1" customWidth="1"/>
    <col min="104" max="106" width="10.19921875" style="5" bestFit="1" customWidth="1"/>
    <col min="107" max="107" width="10.296875" style="5" bestFit="1" customWidth="1"/>
    <col min="108" max="111" width="10.19921875" style="5" bestFit="1" customWidth="1"/>
    <col min="112" max="112" width="10.296875" style="5" bestFit="1" customWidth="1"/>
    <col min="113" max="114" width="10.19921875" style="5" bestFit="1" customWidth="1"/>
    <col min="115" max="115" width="10.296875" style="5" bestFit="1" customWidth="1"/>
    <col min="116" max="117" width="10.19921875" style="5" bestFit="1" customWidth="1"/>
    <col min="118" max="119" width="10.296875" style="5" bestFit="1" customWidth="1"/>
    <col min="120" max="120" width="10.19921875" style="5" bestFit="1" customWidth="1"/>
    <col min="121" max="121" width="10.296875" style="5" bestFit="1" customWidth="1"/>
    <col min="122" max="124" width="10.19921875" style="5" bestFit="1" customWidth="1"/>
    <col min="125" max="125" width="10.296875" style="5" bestFit="1" customWidth="1"/>
    <col min="126" max="128" width="10.19921875" style="5" bestFit="1" customWidth="1"/>
    <col min="129" max="129" width="10.296875" style="5" bestFit="1" customWidth="1"/>
    <col min="130" max="134" width="10.19921875" style="5" bestFit="1" customWidth="1"/>
    <col min="135" max="135" width="10.296875" style="5" bestFit="1" customWidth="1"/>
    <col min="136" max="137" width="10.19921875" style="5" bestFit="1" customWidth="1"/>
    <col min="138" max="138" width="10.296875" style="5" bestFit="1" customWidth="1"/>
    <col min="139" max="140" width="10.19921875" style="5" bestFit="1" customWidth="1"/>
    <col min="141" max="141" width="10.296875" style="5" bestFit="1" customWidth="1"/>
    <col min="142" max="142" width="10.19921875" style="5" bestFit="1" customWidth="1"/>
    <col min="143" max="145" width="10.296875" style="5" bestFit="1" customWidth="1"/>
    <col min="146" max="146" width="10.19921875" style="5" bestFit="1" customWidth="1"/>
    <col min="147" max="153" width="10.296875" style="5" bestFit="1" customWidth="1"/>
    <col min="154" max="155" width="10.19921875" style="5" bestFit="1" customWidth="1"/>
    <col min="156" max="159" width="10.296875" style="5" bestFit="1" customWidth="1"/>
    <col min="160" max="160" width="10.19921875" style="5" bestFit="1" customWidth="1"/>
    <col min="161" max="271" width="10.296875" style="5" bestFit="1" customWidth="1"/>
    <col min="272" max="272" width="18.796875" style="5" customWidth="1"/>
    <col min="273" max="273" width="20.19921875" style="5" customWidth="1"/>
    <col min="274" max="316" width="10.296875" style="5" bestFit="1" customWidth="1"/>
    <col min="317" max="317" width="11.296875" style="5" bestFit="1" customWidth="1"/>
    <col min="318" max="318" width="10.296875" style="5" bestFit="1" customWidth="1"/>
    <col min="319" max="320" width="11.296875" style="5" bestFit="1" customWidth="1"/>
    <col min="321" max="321" width="10.296875" style="5" bestFit="1" customWidth="1"/>
    <col min="322" max="556" width="11.296875" style="5" bestFit="1" customWidth="1"/>
    <col min="557" max="557" width="14.5" style="5" customWidth="1"/>
    <col min="558" max="671" width="11.296875" style="5" bestFit="1" customWidth="1"/>
    <col min="672" max="1343" width="10.296875" style="5" bestFit="1" customWidth="1"/>
    <col min="1344" max="1344" width="9.296875" style="5" bestFit="1" customWidth="1"/>
    <col min="1345" max="1348" width="10.296875" style="5" bestFit="1" customWidth="1"/>
    <col min="1349" max="1350" width="9.296875" style="5" bestFit="1" customWidth="1"/>
    <col min="1351" max="1351" width="10.296875" style="5" bestFit="1" customWidth="1"/>
    <col min="1352" max="1354" width="9.296875" style="5" bestFit="1" customWidth="1"/>
    <col min="1355" max="1355" width="10.296875" style="5" bestFit="1" customWidth="1"/>
    <col min="1356" max="1356" width="9.296875" style="5" bestFit="1" customWidth="1"/>
    <col min="1357" max="1361" width="10.296875" style="5" bestFit="1" customWidth="1"/>
    <col min="1362" max="1363" width="9.296875" style="5" bestFit="1" customWidth="1"/>
    <col min="1364" max="1364" width="10.296875" style="5" bestFit="1" customWidth="1"/>
    <col min="1365" max="1365" width="9.296875" style="5" bestFit="1" customWidth="1"/>
    <col min="1366" max="1366" width="10.296875" style="5" bestFit="1" customWidth="1"/>
    <col min="1367" max="1371" width="9.296875" style="5" bestFit="1" customWidth="1"/>
    <col min="1372" max="1373" width="10.296875" style="5" bestFit="1" customWidth="1"/>
    <col min="1374" max="1378" width="9.296875" style="5" bestFit="1" customWidth="1"/>
    <col min="1379" max="1379" width="10.296875" style="5" bestFit="1" customWidth="1"/>
    <col min="1380" max="1381" width="9.296875" style="5" bestFit="1" customWidth="1"/>
    <col min="1382" max="1384" width="10.296875" style="5" bestFit="1" customWidth="1"/>
    <col min="1385" max="1385" width="9.296875" style="5" bestFit="1" customWidth="1"/>
    <col min="1386" max="1387" width="10.296875" style="5" bestFit="1" customWidth="1"/>
    <col min="1388" max="1388" width="9.296875" style="5" bestFit="1" customWidth="1"/>
    <col min="1389" max="1389" width="10.296875" style="5" bestFit="1" customWidth="1"/>
    <col min="1390" max="1390" width="9.296875" style="5" bestFit="1" customWidth="1"/>
    <col min="1391" max="1395" width="10.296875" style="5" bestFit="1" customWidth="1"/>
    <col min="1396" max="1396" width="9.296875" style="5" bestFit="1" customWidth="1"/>
    <col min="1397" max="1397" width="10.296875" style="5" bestFit="1" customWidth="1"/>
    <col min="1398" max="1398" width="9.296875" style="5" bestFit="1" customWidth="1"/>
    <col min="1399" max="1480" width="10.296875" style="5" bestFit="1" customWidth="1"/>
    <col min="1481" max="1481" width="9.296875" style="5" bestFit="1" customWidth="1"/>
    <col min="1482" max="1487" width="10.296875" style="5" bestFit="1" customWidth="1"/>
    <col min="1488" max="1488" width="9.296875" style="5" bestFit="1" customWidth="1"/>
    <col min="1489" max="1497" width="10.296875" style="5" bestFit="1" customWidth="1"/>
    <col min="1498" max="1498" width="9.296875" style="5" bestFit="1" customWidth="1"/>
    <col min="1499" max="1499" width="10.296875" style="5" bestFit="1" customWidth="1"/>
    <col min="1500" max="1509" width="9.296875" style="5" bestFit="1" customWidth="1"/>
    <col min="1510" max="2523" width="8.796875" style="5" bestFit="1" customWidth="1"/>
    <col min="2524" max="2524" width="8.796875" style="5" customWidth="1"/>
    <col min="2525" max="16384" width="8.796875" style="5"/>
  </cols>
  <sheetData>
    <row r="1" spans="1:2525" ht="19.95" customHeight="1" x14ac:dyDescent="0.45">
      <c r="B1" s="7" t="s">
        <v>137</v>
      </c>
      <c r="C1" s="7" t="s">
        <v>138</v>
      </c>
      <c r="D1" s="7" t="s">
        <v>139</v>
      </c>
      <c r="E1" s="7" t="s">
        <v>140</v>
      </c>
      <c r="F1" s="7" t="s">
        <v>141</v>
      </c>
      <c r="G1" s="8" t="s">
        <v>142</v>
      </c>
      <c r="H1" s="54" t="s">
        <v>143</v>
      </c>
      <c r="I1" s="9" t="s">
        <v>144</v>
      </c>
      <c r="J1" s="9" t="s">
        <v>145</v>
      </c>
      <c r="K1" s="9" t="s">
        <v>146</v>
      </c>
      <c r="L1" s="7" t="s">
        <v>147</v>
      </c>
      <c r="M1" s="10" t="s">
        <v>148</v>
      </c>
      <c r="N1" s="11" t="s">
        <v>149</v>
      </c>
      <c r="O1" s="7" t="s">
        <v>150</v>
      </c>
      <c r="P1" s="27" t="s">
        <v>151</v>
      </c>
      <c r="Q1" s="28" t="s">
        <v>152</v>
      </c>
      <c r="R1" s="28" t="s">
        <v>153</v>
      </c>
      <c r="S1" s="12" t="s">
        <v>154</v>
      </c>
      <c r="T1" s="12" t="s">
        <v>155</v>
      </c>
      <c r="U1" s="12" t="s">
        <v>156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ht="18" customHeight="1" x14ac:dyDescent="0.45">
      <c r="A2" s="2"/>
      <c r="B2" s="5" t="s">
        <v>209</v>
      </c>
      <c r="C2" s="5" t="s">
        <v>196</v>
      </c>
      <c r="D2" s="5">
        <v>300</v>
      </c>
      <c r="E2" s="15" t="s">
        <v>189</v>
      </c>
      <c r="F2" s="59">
        <v>45462</v>
      </c>
      <c r="G2" s="17">
        <v>25</v>
      </c>
      <c r="H2" s="17">
        <v>2.8917999999999999</v>
      </c>
      <c r="I2" s="17">
        <v>5.05</v>
      </c>
      <c r="J2" s="5">
        <v>0</v>
      </c>
      <c r="K2" s="62">
        <v>0</v>
      </c>
      <c r="L2" t="s">
        <v>190</v>
      </c>
      <c r="M2">
        <v>349.1</v>
      </c>
      <c r="N2">
        <v>45.4</v>
      </c>
      <c r="O2" t="s">
        <v>191</v>
      </c>
      <c r="P2" t="s">
        <v>159</v>
      </c>
      <c r="Q2" t="s">
        <v>160</v>
      </c>
      <c r="R2" t="s">
        <v>161</v>
      </c>
      <c r="S2" t="s">
        <v>197</v>
      </c>
      <c r="T2" t="s">
        <v>197</v>
      </c>
      <c r="U2" t="s">
        <v>198</v>
      </c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 s="60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2"/>
      <c r="B3" s="5" t="s">
        <v>199</v>
      </c>
      <c r="C3" s="5" t="s">
        <v>199</v>
      </c>
      <c r="D3" s="5">
        <v>300</v>
      </c>
      <c r="E3" s="15" t="s">
        <v>189</v>
      </c>
      <c r="F3" s="59">
        <v>45462</v>
      </c>
      <c r="G3" s="17">
        <v>25</v>
      </c>
      <c r="H3" s="17">
        <v>2.6594000000000002</v>
      </c>
      <c r="I3" s="17">
        <v>4.1000000000000014</v>
      </c>
      <c r="J3" s="5">
        <v>0</v>
      </c>
      <c r="K3" s="62">
        <v>0</v>
      </c>
      <c r="L3" t="s">
        <v>192</v>
      </c>
      <c r="M3">
        <v>349</v>
      </c>
      <c r="N3">
        <v>45.3</v>
      </c>
      <c r="O3" t="s">
        <v>191</v>
      </c>
      <c r="P3" t="s">
        <v>159</v>
      </c>
      <c r="Q3" t="s">
        <v>160</v>
      </c>
      <c r="R3" t="s">
        <v>161</v>
      </c>
      <c r="S3" t="s">
        <v>197</v>
      </c>
      <c r="T3" t="s">
        <v>197</v>
      </c>
      <c r="U3" t="s">
        <v>198</v>
      </c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 s="60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2"/>
      <c r="B4" s="5" t="s">
        <v>200</v>
      </c>
      <c r="C4" s="5" t="s">
        <v>200</v>
      </c>
      <c r="D4" s="5">
        <v>300</v>
      </c>
      <c r="E4" s="15" t="s">
        <v>189</v>
      </c>
      <c r="F4" s="59">
        <v>45462</v>
      </c>
      <c r="G4" s="17">
        <v>25</v>
      </c>
      <c r="H4" s="17">
        <v>3.0724999999999998</v>
      </c>
      <c r="I4" s="17">
        <v>4.7</v>
      </c>
      <c r="J4" s="5">
        <v>0</v>
      </c>
      <c r="K4" s="62">
        <v>0</v>
      </c>
      <c r="L4" t="s">
        <v>193</v>
      </c>
      <c r="M4">
        <v>349</v>
      </c>
      <c r="N4">
        <v>45.8</v>
      </c>
      <c r="O4" t="s">
        <v>191</v>
      </c>
      <c r="P4" t="s">
        <v>159</v>
      </c>
      <c r="Q4" t="s">
        <v>160</v>
      </c>
      <c r="R4" t="s">
        <v>161</v>
      </c>
      <c r="S4" t="s">
        <v>197</v>
      </c>
      <c r="T4" t="s">
        <v>197</v>
      </c>
      <c r="U4" t="s">
        <v>198</v>
      </c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 s="60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2"/>
      <c r="B5" s="5" t="s">
        <v>201</v>
      </c>
      <c r="C5" s="5" t="s">
        <v>201</v>
      </c>
      <c r="D5" s="5" t="s">
        <v>186</v>
      </c>
      <c r="E5" s="15" t="s">
        <v>189</v>
      </c>
      <c r="F5" s="59">
        <v>45462</v>
      </c>
      <c r="G5" s="17">
        <v>25</v>
      </c>
      <c r="H5" s="17">
        <v>3.4340000000000002</v>
      </c>
      <c r="I5" s="17">
        <v>4.45</v>
      </c>
      <c r="J5" s="5">
        <v>0</v>
      </c>
      <c r="K5" s="62">
        <v>0</v>
      </c>
      <c r="L5" t="s">
        <v>190</v>
      </c>
      <c r="M5">
        <v>373.4</v>
      </c>
      <c r="N5">
        <v>44.7</v>
      </c>
      <c r="O5" t="s">
        <v>191</v>
      </c>
      <c r="P5" t="s">
        <v>159</v>
      </c>
      <c r="Q5" t="s">
        <v>160</v>
      </c>
      <c r="R5" t="s">
        <v>161</v>
      </c>
      <c r="S5" t="s">
        <v>197</v>
      </c>
      <c r="T5" t="s">
        <v>197</v>
      </c>
      <c r="U5" t="s">
        <v>198</v>
      </c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 s="60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2"/>
      <c r="B6" s="5" t="s">
        <v>202</v>
      </c>
      <c r="C6" s="5" t="s">
        <v>202</v>
      </c>
      <c r="D6" s="5" t="s">
        <v>186</v>
      </c>
      <c r="E6" s="15" t="s">
        <v>189</v>
      </c>
      <c r="F6" s="59">
        <v>45462</v>
      </c>
      <c r="G6" s="17">
        <v>25</v>
      </c>
      <c r="H6" s="17">
        <v>3.3824000000000001</v>
      </c>
      <c r="I6" s="17">
        <v>4.55</v>
      </c>
      <c r="J6" s="5">
        <v>0</v>
      </c>
      <c r="K6" s="62">
        <v>0</v>
      </c>
      <c r="L6" t="s">
        <v>192</v>
      </c>
      <c r="M6">
        <v>372.8</v>
      </c>
      <c r="N6">
        <v>45</v>
      </c>
      <c r="O6" t="s">
        <v>191</v>
      </c>
      <c r="P6" t="s">
        <v>159</v>
      </c>
      <c r="Q6" t="s">
        <v>160</v>
      </c>
      <c r="R6" t="s">
        <v>161</v>
      </c>
      <c r="S6" t="s">
        <v>197</v>
      </c>
      <c r="T6" t="s">
        <v>197</v>
      </c>
      <c r="U6" t="s">
        <v>198</v>
      </c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 s="60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2"/>
      <c r="B7" s="5" t="s">
        <v>203</v>
      </c>
      <c r="C7" s="5" t="s">
        <v>203</v>
      </c>
      <c r="D7" s="5" t="s">
        <v>186</v>
      </c>
      <c r="E7" s="15" t="s">
        <v>189</v>
      </c>
      <c r="F7" s="59">
        <v>45462</v>
      </c>
      <c r="G7" s="17">
        <v>25</v>
      </c>
      <c r="H7" s="17">
        <v>3.6147</v>
      </c>
      <c r="I7" s="17">
        <v>4.55</v>
      </c>
      <c r="J7" s="5">
        <v>0</v>
      </c>
      <c r="K7" s="62">
        <v>0</v>
      </c>
      <c r="L7" t="s">
        <v>193</v>
      </c>
      <c r="M7">
        <v>372.6</v>
      </c>
      <c r="N7">
        <v>45.3</v>
      </c>
      <c r="O7" t="s">
        <v>191</v>
      </c>
      <c r="P7" t="s">
        <v>159</v>
      </c>
      <c r="Q7" t="s">
        <v>160</v>
      </c>
      <c r="R7" t="s">
        <v>161</v>
      </c>
      <c r="S7" t="s">
        <v>197</v>
      </c>
      <c r="T7" t="s">
        <v>197</v>
      </c>
      <c r="U7" t="s">
        <v>198</v>
      </c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 s="60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2"/>
      <c r="B8" s="5" t="s">
        <v>210</v>
      </c>
      <c r="C8" s="5" t="s">
        <v>204</v>
      </c>
      <c r="D8" s="5" t="s">
        <v>186</v>
      </c>
      <c r="E8" s="15" t="s">
        <v>194</v>
      </c>
      <c r="F8" s="59">
        <v>45462</v>
      </c>
      <c r="G8" s="17">
        <v>25</v>
      </c>
      <c r="H8" s="17">
        <v>3.4081999999999999</v>
      </c>
      <c r="I8" s="17">
        <v>8.35</v>
      </c>
      <c r="J8" s="5">
        <v>0</v>
      </c>
      <c r="K8" s="62">
        <v>0</v>
      </c>
      <c r="L8" t="s">
        <v>190</v>
      </c>
      <c r="M8">
        <v>373.4</v>
      </c>
      <c r="N8">
        <v>44.7</v>
      </c>
      <c r="O8" t="s">
        <v>191</v>
      </c>
      <c r="P8" t="s">
        <v>159</v>
      </c>
      <c r="Q8" t="s">
        <v>160</v>
      </c>
      <c r="R8" t="s">
        <v>161</v>
      </c>
      <c r="S8" t="s">
        <v>197</v>
      </c>
      <c r="T8" t="s">
        <v>197</v>
      </c>
      <c r="U8" t="s">
        <v>198</v>
      </c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 s="60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2"/>
      <c r="B9" s="5" t="s">
        <v>205</v>
      </c>
      <c r="C9" s="5" t="s">
        <v>205</v>
      </c>
      <c r="D9" s="5" t="s">
        <v>186</v>
      </c>
      <c r="E9" s="15" t="s">
        <v>194</v>
      </c>
      <c r="F9" s="59">
        <v>45462</v>
      </c>
      <c r="G9" s="17">
        <v>25</v>
      </c>
      <c r="H9" s="17">
        <v>3.1758000000000002</v>
      </c>
      <c r="I9" s="17">
        <v>7.85</v>
      </c>
      <c r="J9" s="5">
        <v>0</v>
      </c>
      <c r="K9" s="62">
        <v>0</v>
      </c>
      <c r="L9" t="s">
        <v>192</v>
      </c>
      <c r="M9">
        <v>372.8</v>
      </c>
      <c r="N9">
        <v>45</v>
      </c>
      <c r="O9" t="s">
        <v>191</v>
      </c>
      <c r="P9" t="s">
        <v>159</v>
      </c>
      <c r="Q9" t="s">
        <v>160</v>
      </c>
      <c r="R9" t="s">
        <v>161</v>
      </c>
      <c r="S9" t="s">
        <v>197</v>
      </c>
      <c r="T9" t="s">
        <v>197</v>
      </c>
      <c r="U9" t="s">
        <v>198</v>
      </c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 s="60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2"/>
      <c r="B10" s="5" t="s">
        <v>206</v>
      </c>
      <c r="C10" s="5" t="s">
        <v>206</v>
      </c>
      <c r="D10" s="5" t="s">
        <v>186</v>
      </c>
      <c r="E10" s="15" t="s">
        <v>194</v>
      </c>
      <c r="F10" s="59">
        <v>45462</v>
      </c>
      <c r="G10" s="17">
        <v>25</v>
      </c>
      <c r="H10" s="17">
        <v>3.2532999999999999</v>
      </c>
      <c r="I10" s="17">
        <v>9.3500000000000014</v>
      </c>
      <c r="J10" s="5">
        <v>0</v>
      </c>
      <c r="K10" s="62">
        <v>0</v>
      </c>
      <c r="L10" t="s">
        <v>193</v>
      </c>
      <c r="M10">
        <v>372.6</v>
      </c>
      <c r="N10">
        <v>45.3</v>
      </c>
      <c r="O10" t="s">
        <v>191</v>
      </c>
      <c r="P10" t="s">
        <v>159</v>
      </c>
      <c r="Q10" t="s">
        <v>160</v>
      </c>
      <c r="R10" t="s">
        <v>161</v>
      </c>
      <c r="S10" t="s">
        <v>197</v>
      </c>
      <c r="T10" t="s">
        <v>197</v>
      </c>
      <c r="U10" t="s">
        <v>198</v>
      </c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 s="60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2"/>
      <c r="B11" s="5" t="s">
        <v>207</v>
      </c>
      <c r="C11" s="5" t="s">
        <v>207</v>
      </c>
      <c r="D11" s="5" t="s">
        <v>186</v>
      </c>
      <c r="E11" s="15" t="s">
        <v>195</v>
      </c>
      <c r="F11" s="59">
        <v>45462</v>
      </c>
      <c r="G11" s="17">
        <v>25</v>
      </c>
      <c r="H11" s="17">
        <v>6.226</v>
      </c>
      <c r="I11" s="17">
        <v>3.9</v>
      </c>
      <c r="J11" s="5">
        <v>2.6000000000000005</v>
      </c>
      <c r="K11" s="62">
        <v>0</v>
      </c>
      <c r="L11" t="s">
        <v>190</v>
      </c>
      <c r="M11">
        <v>373.4</v>
      </c>
      <c r="N11">
        <v>44.7</v>
      </c>
      <c r="O11" t="s">
        <v>191</v>
      </c>
      <c r="P11" t="s">
        <v>159</v>
      </c>
      <c r="Q11" t="s">
        <v>160</v>
      </c>
      <c r="R11" t="s">
        <v>161</v>
      </c>
      <c r="S11" t="s">
        <v>197</v>
      </c>
      <c r="T11" t="s">
        <v>197</v>
      </c>
      <c r="U11" t="s">
        <v>198</v>
      </c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 s="61">
        <v>4.9288999999999996</v>
      </c>
      <c r="JS11" s="61">
        <v>4.9938000000000002</v>
      </c>
      <c r="JT11" s="61">
        <v>4.9288999999999996</v>
      </c>
      <c r="JU11" s="61">
        <v>5.0586000000000002</v>
      </c>
      <c r="JV11" s="61">
        <v>5.1234999999999999</v>
      </c>
      <c r="JW11" s="61">
        <v>5.1234999999999999</v>
      </c>
      <c r="JX11" s="61">
        <v>4.9938000000000002</v>
      </c>
      <c r="JY11" s="61">
        <v>5.1234999999999999</v>
      </c>
      <c r="JZ11" s="61">
        <v>5.3829000000000002</v>
      </c>
      <c r="KA11" s="61">
        <v>5.3829000000000002</v>
      </c>
      <c r="KB11" s="61">
        <v>5.5774999999999997</v>
      </c>
      <c r="KC11" s="61">
        <v>5.2531999999999996</v>
      </c>
      <c r="KD11" s="61">
        <v>5.3829000000000002</v>
      </c>
      <c r="KE11" s="61">
        <v>5.5125999999999999</v>
      </c>
      <c r="KF11" s="61">
        <v>5.7072000000000003</v>
      </c>
      <c r="KG11" s="61">
        <v>5.8369</v>
      </c>
      <c r="KH11" s="61">
        <v>5.7072000000000003</v>
      </c>
      <c r="KI11" s="61">
        <v>5.7720000000000002</v>
      </c>
      <c r="KJ11" s="61">
        <v>5.9017999999999997</v>
      </c>
      <c r="KK11" s="61">
        <v>5.7072000000000003</v>
      </c>
      <c r="KL11" s="61">
        <v>5.8369</v>
      </c>
      <c r="KM11" s="61">
        <v>5.8369</v>
      </c>
      <c r="KN11" s="61">
        <v>6.0315000000000003</v>
      </c>
      <c r="KO11" s="61">
        <v>6.0963000000000003</v>
      </c>
      <c r="KP11" s="61">
        <v>6.0315000000000003</v>
      </c>
      <c r="KQ11" s="61">
        <v>6.0315000000000003</v>
      </c>
      <c r="KR11" s="61">
        <v>5.9665999999999997</v>
      </c>
      <c r="KS11" s="61">
        <v>6.226</v>
      </c>
      <c r="KT11" s="61">
        <v>6.0315000000000003</v>
      </c>
      <c r="KU11" s="61">
        <v>5.9665999999999997</v>
      </c>
      <c r="KV11" s="61">
        <v>5.9665999999999997</v>
      </c>
      <c r="KW11" s="61">
        <v>5.9665999999999997</v>
      </c>
      <c r="KX11" s="61">
        <v>5.9665999999999997</v>
      </c>
      <c r="KY11" s="61">
        <v>5.9665999999999997</v>
      </c>
      <c r="KZ11" s="61">
        <v>5.8369</v>
      </c>
      <c r="LA11" s="61">
        <v>5.8369</v>
      </c>
      <c r="LB11" s="61">
        <v>5.7720000000000002</v>
      </c>
      <c r="LC11" s="61">
        <v>5.5774999999999997</v>
      </c>
      <c r="LD11" s="61">
        <v>5.8369</v>
      </c>
      <c r="LE11" s="61">
        <v>5.7072000000000003</v>
      </c>
      <c r="LF11" s="61">
        <v>5.6422999999999996</v>
      </c>
      <c r="LG11" s="61">
        <v>5.5774999999999997</v>
      </c>
      <c r="LH11" s="61">
        <v>5.5125999999999999</v>
      </c>
      <c r="LI11" s="61">
        <v>5.4478</v>
      </c>
      <c r="LJ11" s="61">
        <v>5.2531999999999996</v>
      </c>
      <c r="LK11" s="61">
        <v>5.1234999999999999</v>
      </c>
      <c r="LL11" s="61">
        <v>4.9938000000000002</v>
      </c>
      <c r="LM11" s="61">
        <v>5.0586000000000002</v>
      </c>
      <c r="LN11" s="61">
        <v>5.1234999999999999</v>
      </c>
      <c r="LO11" s="61">
        <v>5.0586000000000002</v>
      </c>
      <c r="LP11" s="61">
        <v>5.1234999999999999</v>
      </c>
      <c r="LQ11" s="61">
        <v>4.9288999999999996</v>
      </c>
      <c r="LR11" s="61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2"/>
      <c r="B12" s="5" t="s">
        <v>208</v>
      </c>
      <c r="C12" s="5" t="s">
        <v>208</v>
      </c>
      <c r="D12" s="5" t="s">
        <v>186</v>
      </c>
      <c r="E12" s="15" t="s">
        <v>195</v>
      </c>
      <c r="F12" s="59">
        <v>45462</v>
      </c>
      <c r="G12" s="17">
        <v>25</v>
      </c>
      <c r="H12" s="17">
        <v>6.6151999999999997</v>
      </c>
      <c r="I12" s="17">
        <v>3.2</v>
      </c>
      <c r="J12" s="5">
        <v>2.95</v>
      </c>
      <c r="K12" s="62">
        <v>0</v>
      </c>
      <c r="L12" t="s">
        <v>192</v>
      </c>
      <c r="M12">
        <v>372.8</v>
      </c>
      <c r="N12">
        <v>45</v>
      </c>
      <c r="O12" t="s">
        <v>191</v>
      </c>
      <c r="P12" t="s">
        <v>159</v>
      </c>
      <c r="Q12" t="s">
        <v>160</v>
      </c>
      <c r="R12" t="s">
        <v>161</v>
      </c>
      <c r="S12" t="s">
        <v>197</v>
      </c>
      <c r="T12" t="s">
        <v>197</v>
      </c>
      <c r="U12" t="s">
        <v>198</v>
      </c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 s="61">
        <v>4.9938000000000002</v>
      </c>
      <c r="JH12" s="61">
        <v>5.0586000000000002</v>
      </c>
      <c r="JI12" s="61">
        <v>5.1234999999999999</v>
      </c>
      <c r="JJ12" s="61">
        <v>5.1234999999999999</v>
      </c>
      <c r="JK12" s="61">
        <v>5.4478</v>
      </c>
      <c r="JL12" s="61">
        <v>5.4478</v>
      </c>
      <c r="JM12" s="61">
        <v>5.3829000000000002</v>
      </c>
      <c r="JN12" s="61">
        <v>5.4478</v>
      </c>
      <c r="JO12" s="61">
        <v>5.4478</v>
      </c>
      <c r="JP12" s="61">
        <v>5.5125999999999999</v>
      </c>
      <c r="JQ12" s="61">
        <v>5.5125999999999999</v>
      </c>
      <c r="JR12" s="61">
        <v>5.5774999999999997</v>
      </c>
      <c r="JS12" s="61">
        <v>5.5774999999999997</v>
      </c>
      <c r="JT12" s="61">
        <v>5.5774999999999997</v>
      </c>
      <c r="JU12" s="61">
        <v>5.8369</v>
      </c>
      <c r="JV12" s="61">
        <v>5.7720000000000002</v>
      </c>
      <c r="JW12" s="61">
        <v>5.8369</v>
      </c>
      <c r="JX12" s="61">
        <v>5.9017999999999997</v>
      </c>
      <c r="JY12" s="61">
        <v>6.0963000000000003</v>
      </c>
      <c r="JZ12" s="61">
        <v>5.9665999999999997</v>
      </c>
      <c r="KA12" s="61">
        <v>6.2908999999999997</v>
      </c>
      <c r="KB12" s="61">
        <v>6.2908999999999997</v>
      </c>
      <c r="KC12" s="61">
        <v>6.4206000000000003</v>
      </c>
      <c r="KD12" s="61">
        <v>6.4854000000000003</v>
      </c>
      <c r="KE12" s="61">
        <v>6.6151999999999997</v>
      </c>
      <c r="KF12" s="61">
        <v>6.4206000000000003</v>
      </c>
      <c r="KG12" s="61">
        <v>6.3556999999999997</v>
      </c>
      <c r="KH12" s="61">
        <v>6.3556999999999997</v>
      </c>
      <c r="KI12" s="61">
        <v>6.2908999999999997</v>
      </c>
      <c r="KJ12" s="61">
        <v>6.4854000000000003</v>
      </c>
      <c r="KK12" s="61">
        <v>6.4206000000000003</v>
      </c>
      <c r="KL12" s="61">
        <v>6.2908999999999997</v>
      </c>
      <c r="KM12" s="61">
        <v>6.5503</v>
      </c>
      <c r="KN12" s="61">
        <v>6.4854000000000003</v>
      </c>
      <c r="KO12" s="61">
        <v>6.226</v>
      </c>
      <c r="KP12" s="61">
        <v>6.3556999999999997</v>
      </c>
      <c r="KQ12" s="61">
        <v>6.3556999999999997</v>
      </c>
      <c r="KR12" s="61">
        <v>6.4206000000000003</v>
      </c>
      <c r="KS12" s="61">
        <v>6.3556999999999997</v>
      </c>
      <c r="KT12" s="61">
        <v>6.4206000000000003</v>
      </c>
      <c r="KU12" s="61">
        <v>6.2908999999999997</v>
      </c>
      <c r="KV12" s="61">
        <v>6.2908999999999997</v>
      </c>
      <c r="KW12" s="61">
        <v>6.4854000000000003</v>
      </c>
      <c r="KX12" s="61">
        <v>6.0963000000000003</v>
      </c>
      <c r="KY12" s="61">
        <v>6.3556999999999997</v>
      </c>
      <c r="KZ12" s="61">
        <v>6.0963000000000003</v>
      </c>
      <c r="LA12" s="61">
        <v>5.9665999999999997</v>
      </c>
      <c r="LB12" s="61">
        <v>5.9665999999999997</v>
      </c>
      <c r="LC12" s="61">
        <v>5.9665999999999997</v>
      </c>
      <c r="LD12" s="61">
        <v>5.9017999999999997</v>
      </c>
      <c r="LE12" s="61">
        <v>5.6422999999999996</v>
      </c>
      <c r="LF12" s="61">
        <v>5.7072000000000003</v>
      </c>
      <c r="LG12" s="61">
        <v>5.3829000000000002</v>
      </c>
      <c r="LH12" s="61">
        <v>5.3829000000000002</v>
      </c>
      <c r="LI12" s="61">
        <v>5.2531999999999996</v>
      </c>
      <c r="LJ12" s="61">
        <v>5.3829000000000002</v>
      </c>
      <c r="LK12" s="61">
        <v>5.3829000000000002</v>
      </c>
      <c r="LL12" s="61">
        <v>5.1883999999999997</v>
      </c>
      <c r="LM12" s="61">
        <v>4.9938000000000002</v>
      </c>
      <c r="LN12" s="61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7"/>
  <sheetViews>
    <sheetView topLeftCell="C1" workbookViewId="0">
      <selection activeCell="C38" sqref="C38"/>
    </sheetView>
  </sheetViews>
  <sheetFormatPr defaultColWidth="8.796875" defaultRowHeight="18" customHeight="1" x14ac:dyDescent="0.45"/>
  <cols>
    <col min="1" max="1" width="20.69921875" style="2" customWidth="1"/>
    <col min="2" max="2" width="44.5" bestFit="1" customWidth="1"/>
    <col min="3" max="3" width="55.3984375" bestFit="1" customWidth="1"/>
    <col min="4" max="4" width="22" bestFit="1" customWidth="1"/>
    <col min="5" max="5" width="19.19921875" customWidth="1"/>
    <col min="6" max="6" width="14.19921875" bestFit="1" customWidth="1"/>
    <col min="7" max="7" width="14.19921875" customWidth="1"/>
    <col min="8" max="8" width="14.19921875" style="56" customWidth="1"/>
    <col min="9" max="11" width="14.19921875" customWidth="1"/>
    <col min="12" max="12" width="16.5" bestFit="1" customWidth="1"/>
    <col min="13" max="13" width="14.296875" bestFit="1" customWidth="1"/>
    <col min="14" max="14" width="12.296875" bestFit="1" customWidth="1"/>
    <col min="15" max="15" width="24.19921875" customWidth="1"/>
    <col min="16" max="16" width="34.19921875" customWidth="1"/>
    <col min="17" max="17" width="19.296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55" t="s">
        <v>128</v>
      </c>
      <c r="I1" s="4" t="s">
        <v>129</v>
      </c>
      <c r="J1" s="4" t="s">
        <v>131</v>
      </c>
      <c r="K1" s="4"/>
      <c r="L1" s="4"/>
      <c r="M1" s="4"/>
      <c r="N1" s="4"/>
      <c r="O1" s="4"/>
      <c r="P1" s="4"/>
      <c r="Q1" s="4"/>
      <c r="R1" s="4"/>
    </row>
    <row r="2" spans="2:18" x14ac:dyDescent="0.45">
      <c r="C2" s="51"/>
      <c r="H2" s="35">
        <v>100</v>
      </c>
      <c r="I2" s="58">
        <v>0</v>
      </c>
      <c r="J2" s="3"/>
      <c r="K2" s="3"/>
      <c r="L2" t="s">
        <v>56</v>
      </c>
      <c r="M2" t="s">
        <v>39</v>
      </c>
    </row>
    <row r="3" spans="2:18" ht="18" customHeight="1" x14ac:dyDescent="0.45">
      <c r="H3" s="35">
        <v>101</v>
      </c>
      <c r="I3" s="58">
        <v>0</v>
      </c>
      <c r="J3" s="3"/>
      <c r="K3" s="3"/>
      <c r="L3" t="s">
        <v>56</v>
      </c>
      <c r="M3" t="s">
        <v>41</v>
      </c>
    </row>
    <row r="4" spans="2:18" x14ac:dyDescent="0.45">
      <c r="C4" s="51"/>
      <c r="H4" s="35">
        <v>105</v>
      </c>
      <c r="I4" s="58">
        <v>2.7</v>
      </c>
      <c r="J4" s="3" t="s">
        <v>133</v>
      </c>
      <c r="K4" s="3"/>
      <c r="L4" t="s">
        <v>56</v>
      </c>
      <c r="M4" t="s">
        <v>42</v>
      </c>
    </row>
    <row r="5" spans="2:18" x14ac:dyDescent="0.45">
      <c r="B5" s="1"/>
      <c r="C5" s="52"/>
      <c r="E5" s="1"/>
      <c r="H5" s="35">
        <v>110</v>
      </c>
      <c r="I5" s="58">
        <v>2.9</v>
      </c>
      <c r="J5" s="3"/>
      <c r="K5" s="3"/>
      <c r="L5" t="s">
        <v>56</v>
      </c>
      <c r="M5" t="s">
        <v>43</v>
      </c>
    </row>
    <row r="6" spans="2:18" ht="18" customHeight="1" x14ac:dyDescent="0.45">
      <c r="H6" s="35" t="s">
        <v>157</v>
      </c>
      <c r="I6" s="58">
        <v>2.9</v>
      </c>
      <c r="K6" s="3"/>
      <c r="L6" t="s">
        <v>57</v>
      </c>
      <c r="M6" t="s">
        <v>36</v>
      </c>
    </row>
    <row r="7" spans="2:18" ht="18" customHeight="1" x14ac:dyDescent="0.45">
      <c r="H7" s="35" t="s">
        <v>123</v>
      </c>
      <c r="I7" s="58">
        <v>3</v>
      </c>
      <c r="J7" s="3" t="s">
        <v>132</v>
      </c>
      <c r="K7" s="3"/>
      <c r="L7" t="s">
        <v>57</v>
      </c>
      <c r="M7" t="s">
        <v>37</v>
      </c>
    </row>
    <row r="8" spans="2:18" ht="18" customHeight="1" x14ac:dyDescent="0.45">
      <c r="H8" s="35">
        <v>111</v>
      </c>
      <c r="I8" s="58">
        <v>3</v>
      </c>
      <c r="J8" s="3"/>
      <c r="K8" s="3"/>
      <c r="L8" t="s">
        <v>57</v>
      </c>
      <c r="M8" t="s">
        <v>38</v>
      </c>
    </row>
    <row r="9" spans="2:18" x14ac:dyDescent="0.45">
      <c r="C9" s="51"/>
      <c r="H9" s="35">
        <v>140</v>
      </c>
      <c r="I9" s="58">
        <v>3</v>
      </c>
      <c r="J9" s="3"/>
      <c r="K9" s="3"/>
      <c r="L9" t="s">
        <v>57</v>
      </c>
      <c r="M9" t="s">
        <v>39</v>
      </c>
    </row>
    <row r="10" spans="2:18" x14ac:dyDescent="0.45">
      <c r="C10" s="51"/>
      <c r="H10" s="35" t="s">
        <v>124</v>
      </c>
      <c r="I10" s="58">
        <v>3</v>
      </c>
      <c r="J10" s="3" t="s">
        <v>132</v>
      </c>
      <c r="K10" s="3"/>
      <c r="L10" t="s">
        <v>58</v>
      </c>
      <c r="M10" t="s">
        <v>36</v>
      </c>
    </row>
    <row r="11" spans="2:18" ht="18" customHeight="1" x14ac:dyDescent="0.45">
      <c r="F11" t="s">
        <v>0</v>
      </c>
      <c r="H11" s="35">
        <v>170</v>
      </c>
      <c r="I11" s="58">
        <v>2.7</v>
      </c>
      <c r="J11" s="3"/>
      <c r="K11" s="3"/>
      <c r="L11" t="s">
        <v>58</v>
      </c>
      <c r="M11" t="s">
        <v>37</v>
      </c>
    </row>
    <row r="12" spans="2:18" ht="18" customHeight="1" x14ac:dyDescent="0.45">
      <c r="F12" t="s">
        <v>3</v>
      </c>
      <c r="H12" s="35">
        <v>171</v>
      </c>
      <c r="I12" s="58">
        <v>2.8</v>
      </c>
      <c r="J12" s="3"/>
      <c r="K12" s="3"/>
      <c r="L12" t="s">
        <v>58</v>
      </c>
      <c r="M12" t="s">
        <v>38</v>
      </c>
    </row>
    <row r="13" spans="2:18" ht="18" customHeight="1" x14ac:dyDescent="0.45">
      <c r="F13" t="s">
        <v>4</v>
      </c>
      <c r="H13" s="35" t="s">
        <v>23</v>
      </c>
      <c r="I13" s="58">
        <v>2.8</v>
      </c>
      <c r="J13" s="3" t="s">
        <v>132</v>
      </c>
      <c r="K13" s="3"/>
      <c r="L13" t="s">
        <v>58</v>
      </c>
      <c r="M13" t="s">
        <v>39</v>
      </c>
    </row>
    <row r="14" spans="2:18" ht="18" customHeight="1" x14ac:dyDescent="0.45">
      <c r="F14" t="s">
        <v>10</v>
      </c>
      <c r="H14" s="35" t="s">
        <v>25</v>
      </c>
      <c r="I14" s="58">
        <v>2.7</v>
      </c>
      <c r="J14" s="3" t="s">
        <v>132</v>
      </c>
      <c r="K14" s="3"/>
      <c r="L14" t="s">
        <v>58</v>
      </c>
      <c r="M14" t="s">
        <v>44</v>
      </c>
    </row>
    <row r="15" spans="2:18" ht="18" customHeight="1" x14ac:dyDescent="0.45">
      <c r="F15" t="s">
        <v>5</v>
      </c>
      <c r="H15" s="35" t="s">
        <v>24</v>
      </c>
      <c r="I15" s="58">
        <v>2.7</v>
      </c>
      <c r="J15" s="3" t="s">
        <v>132</v>
      </c>
      <c r="K15" s="3"/>
      <c r="L15" t="s">
        <v>58</v>
      </c>
      <c r="M15" t="s">
        <v>45</v>
      </c>
    </row>
    <row r="16" spans="2:18" ht="18" customHeight="1" x14ac:dyDescent="0.45">
      <c r="F16" t="s">
        <v>6</v>
      </c>
      <c r="H16" s="35" t="s">
        <v>26</v>
      </c>
      <c r="I16" s="58">
        <v>2.2000000000000002</v>
      </c>
      <c r="J16" s="3" t="s">
        <v>132</v>
      </c>
      <c r="K16" s="3"/>
      <c r="L16" t="s">
        <v>63</v>
      </c>
      <c r="M16" t="s">
        <v>36</v>
      </c>
    </row>
    <row r="17" spans="6:13" ht="18" customHeight="1" x14ac:dyDescent="0.45">
      <c r="F17" t="s">
        <v>7</v>
      </c>
      <c r="H17" s="35">
        <v>217</v>
      </c>
      <c r="I17" s="58">
        <v>1.8</v>
      </c>
      <c r="J17" s="3"/>
      <c r="K17" s="3"/>
      <c r="L17" t="s">
        <v>63</v>
      </c>
      <c r="M17" t="s">
        <v>37</v>
      </c>
    </row>
    <row r="18" spans="6:13" ht="18" customHeight="1" x14ac:dyDescent="0.45">
      <c r="F18" t="s">
        <v>8</v>
      </c>
      <c r="H18" s="35" t="s">
        <v>27</v>
      </c>
      <c r="I18" s="58">
        <v>1.8</v>
      </c>
      <c r="J18" s="3" t="s">
        <v>132</v>
      </c>
      <c r="K18" s="3"/>
      <c r="L18" t="s">
        <v>63</v>
      </c>
      <c r="M18" t="s">
        <v>38</v>
      </c>
    </row>
    <row r="19" spans="6:13" ht="18" customHeight="1" x14ac:dyDescent="0.45">
      <c r="F19" t="s">
        <v>11</v>
      </c>
      <c r="H19" s="35">
        <v>219</v>
      </c>
      <c r="I19" s="58">
        <v>1.8</v>
      </c>
      <c r="J19" s="3"/>
      <c r="K19" s="3"/>
      <c r="L19" t="s">
        <v>63</v>
      </c>
      <c r="M19" t="s">
        <v>39</v>
      </c>
    </row>
    <row r="20" spans="6:13" ht="18" customHeight="1" x14ac:dyDescent="0.45">
      <c r="F20" t="s">
        <v>12</v>
      </c>
      <c r="H20" s="35" t="s">
        <v>28</v>
      </c>
      <c r="I20" s="58">
        <v>1.8</v>
      </c>
      <c r="J20" s="3" t="s">
        <v>132</v>
      </c>
      <c r="K20" s="3"/>
      <c r="L20" t="s">
        <v>64</v>
      </c>
      <c r="M20" t="s">
        <v>36</v>
      </c>
    </row>
    <row r="21" spans="6:13" ht="18" customHeight="1" x14ac:dyDescent="0.45">
      <c r="F21" t="s">
        <v>9</v>
      </c>
      <c r="H21" s="35">
        <v>260</v>
      </c>
      <c r="I21" s="58">
        <v>2</v>
      </c>
      <c r="J21" s="3"/>
      <c r="K21" s="3"/>
      <c r="L21" t="s">
        <v>64</v>
      </c>
      <c r="M21" t="s">
        <v>37</v>
      </c>
    </row>
    <row r="22" spans="6:13" ht="18" customHeight="1" x14ac:dyDescent="0.45">
      <c r="F22" t="s">
        <v>11</v>
      </c>
      <c r="H22" s="35" t="s">
        <v>29</v>
      </c>
      <c r="I22" s="58">
        <v>2</v>
      </c>
      <c r="J22" s="3" t="s">
        <v>132</v>
      </c>
      <c r="K22" s="3"/>
      <c r="L22" t="s">
        <v>64</v>
      </c>
      <c r="M22" t="s">
        <v>38</v>
      </c>
    </row>
    <row r="23" spans="6:13" ht="18" customHeight="1" x14ac:dyDescent="0.45">
      <c r="F23" t="s">
        <v>12</v>
      </c>
      <c r="H23" s="35">
        <v>280</v>
      </c>
      <c r="I23" s="58">
        <v>2</v>
      </c>
      <c r="J23" s="3"/>
      <c r="K23" s="3"/>
      <c r="L23" t="s">
        <v>65</v>
      </c>
      <c r="M23" t="s">
        <v>36</v>
      </c>
    </row>
    <row r="24" spans="6:13" ht="18" customHeight="1" x14ac:dyDescent="0.45">
      <c r="H24" s="35" t="s">
        <v>30</v>
      </c>
      <c r="I24" s="58">
        <v>2</v>
      </c>
      <c r="J24" s="3" t="s">
        <v>132</v>
      </c>
      <c r="K24" s="3"/>
      <c r="L24" t="s">
        <v>65</v>
      </c>
      <c r="M24" t="s">
        <v>46</v>
      </c>
    </row>
    <row r="25" spans="6:13" ht="18" customHeight="1" x14ac:dyDescent="0.45">
      <c r="H25" s="35">
        <v>300</v>
      </c>
      <c r="I25" s="58">
        <v>3</v>
      </c>
      <c r="J25" s="3"/>
      <c r="K25" s="3"/>
      <c r="L25" t="s">
        <v>65</v>
      </c>
      <c r="M25" t="s">
        <v>47</v>
      </c>
    </row>
    <row r="26" spans="6:13" ht="18" customHeight="1" x14ac:dyDescent="0.45">
      <c r="H26" s="35" t="s">
        <v>13</v>
      </c>
      <c r="I26" s="58">
        <v>3</v>
      </c>
      <c r="J26" s="3" t="s">
        <v>132</v>
      </c>
      <c r="K26" s="3"/>
      <c r="L26" t="s">
        <v>65</v>
      </c>
      <c r="M26" t="s">
        <v>37</v>
      </c>
    </row>
    <row r="27" spans="6:13" ht="18" customHeight="1" x14ac:dyDescent="0.45">
      <c r="H27" s="35">
        <v>310</v>
      </c>
      <c r="I27" s="58">
        <v>2.9</v>
      </c>
      <c r="J27" s="3"/>
      <c r="K27" s="3"/>
      <c r="L27" t="s">
        <v>65</v>
      </c>
      <c r="M27" t="s">
        <v>38</v>
      </c>
    </row>
    <row r="28" spans="6:13" ht="18" customHeight="1" x14ac:dyDescent="0.45">
      <c r="H28" s="35" t="s">
        <v>14</v>
      </c>
      <c r="I28" s="58">
        <v>2.9</v>
      </c>
      <c r="J28" s="3" t="s">
        <v>132</v>
      </c>
      <c r="K28" s="3"/>
      <c r="L28" t="s">
        <v>65</v>
      </c>
      <c r="M28" t="s">
        <v>48</v>
      </c>
    </row>
    <row r="29" spans="6:13" ht="18" customHeight="1" x14ac:dyDescent="0.45">
      <c r="H29" s="35">
        <v>360</v>
      </c>
      <c r="I29" s="58">
        <v>3.6</v>
      </c>
      <c r="J29" s="3"/>
      <c r="K29" s="3"/>
      <c r="L29" t="s">
        <v>66</v>
      </c>
      <c r="M29" t="s">
        <v>36</v>
      </c>
    </row>
    <row r="30" spans="6:13" ht="18" customHeight="1" x14ac:dyDescent="0.45">
      <c r="H30" s="35" t="s">
        <v>15</v>
      </c>
      <c r="I30" s="58">
        <v>3.6</v>
      </c>
      <c r="J30" s="3" t="s">
        <v>132</v>
      </c>
      <c r="K30" s="3"/>
      <c r="L30" t="s">
        <v>66</v>
      </c>
      <c r="M30" t="s">
        <v>37</v>
      </c>
    </row>
    <row r="31" spans="6:13" ht="18" customHeight="1" x14ac:dyDescent="0.45">
      <c r="H31" s="35">
        <v>370</v>
      </c>
      <c r="I31" s="58">
        <v>3</v>
      </c>
      <c r="J31" s="3"/>
      <c r="K31" s="3"/>
      <c r="L31" t="s">
        <v>66</v>
      </c>
      <c r="M31" t="s">
        <v>38</v>
      </c>
    </row>
    <row r="32" spans="6:13" ht="18" customHeight="1" x14ac:dyDescent="0.45">
      <c r="H32" s="35" t="s">
        <v>16</v>
      </c>
      <c r="I32" s="58">
        <v>3</v>
      </c>
      <c r="J32" s="3" t="s">
        <v>132</v>
      </c>
      <c r="K32" s="3"/>
      <c r="L32" t="s">
        <v>67</v>
      </c>
      <c r="M32" t="s">
        <v>36</v>
      </c>
    </row>
    <row r="33" spans="8:14" ht="18" customHeight="1" x14ac:dyDescent="0.45">
      <c r="H33" s="35">
        <v>380</v>
      </c>
      <c r="I33" s="58">
        <v>3</v>
      </c>
      <c r="J33" s="3"/>
      <c r="K33" s="3"/>
      <c r="L33" t="s">
        <v>67</v>
      </c>
      <c r="M33" t="s">
        <v>50</v>
      </c>
    </row>
    <row r="34" spans="8:14" ht="18" customHeight="1" x14ac:dyDescent="0.45">
      <c r="H34" s="35" t="s">
        <v>17</v>
      </c>
      <c r="I34" s="58">
        <v>3</v>
      </c>
      <c r="J34" s="3" t="s">
        <v>133</v>
      </c>
      <c r="K34" s="3"/>
      <c r="L34" t="s">
        <v>67</v>
      </c>
      <c r="M34" t="s">
        <v>46</v>
      </c>
    </row>
    <row r="35" spans="8:14" ht="18" customHeight="1" x14ac:dyDescent="0.45">
      <c r="H35" s="35" t="s">
        <v>21</v>
      </c>
      <c r="I35" s="58">
        <v>2.9</v>
      </c>
      <c r="J35" s="3" t="s">
        <v>132</v>
      </c>
      <c r="K35" s="3"/>
      <c r="L35" t="s">
        <v>67</v>
      </c>
      <c r="M35" t="s">
        <v>47</v>
      </c>
    </row>
    <row r="36" spans="8:14" ht="18" customHeight="1" x14ac:dyDescent="0.45">
      <c r="H36" s="35" t="s">
        <v>22</v>
      </c>
      <c r="I36" s="58">
        <v>2.9</v>
      </c>
      <c r="J36" s="3" t="s">
        <v>132</v>
      </c>
      <c r="K36" s="3"/>
      <c r="L36" t="s">
        <v>67</v>
      </c>
      <c r="M36" t="s">
        <v>37</v>
      </c>
    </row>
    <row r="37" spans="8:14" ht="18" customHeight="1" x14ac:dyDescent="0.45">
      <c r="H37" s="35" t="s">
        <v>18</v>
      </c>
      <c r="I37" s="58">
        <v>3.1</v>
      </c>
      <c r="J37" s="3" t="s">
        <v>132</v>
      </c>
      <c r="K37" s="3"/>
      <c r="L37" t="s">
        <v>67</v>
      </c>
      <c r="M37" t="s">
        <v>38</v>
      </c>
    </row>
    <row r="38" spans="8:14" ht="18" customHeight="1" x14ac:dyDescent="0.45">
      <c r="H38" s="35" t="s">
        <v>19</v>
      </c>
      <c r="I38" s="58">
        <v>2.9</v>
      </c>
      <c r="J38" s="3" t="s">
        <v>132</v>
      </c>
      <c r="K38" s="3"/>
      <c r="L38" t="s">
        <v>67</v>
      </c>
      <c r="M38" t="s">
        <v>51</v>
      </c>
    </row>
    <row r="39" spans="8:14" ht="18" customHeight="1" x14ac:dyDescent="0.45">
      <c r="H39" s="35" t="s">
        <v>20</v>
      </c>
      <c r="I39" s="58">
        <v>2.9</v>
      </c>
      <c r="J39" s="3" t="s">
        <v>132</v>
      </c>
      <c r="K39" s="3"/>
      <c r="L39" t="s">
        <v>67</v>
      </c>
      <c r="M39" t="s">
        <v>40</v>
      </c>
    </row>
    <row r="40" spans="8:14" ht="18" customHeight="1" x14ac:dyDescent="0.45">
      <c r="H40" s="35" t="s">
        <v>31</v>
      </c>
      <c r="I40" s="58">
        <v>2.8</v>
      </c>
      <c r="J40" s="3" t="s">
        <v>132</v>
      </c>
      <c r="K40" s="3"/>
      <c r="L40" t="s">
        <v>67</v>
      </c>
      <c r="M40" t="s">
        <v>39</v>
      </c>
    </row>
    <row r="41" spans="8:14" ht="18" customHeight="1" x14ac:dyDescent="0.45">
      <c r="H41" s="35" t="s">
        <v>32</v>
      </c>
      <c r="I41" s="58">
        <v>3.2</v>
      </c>
      <c r="J41" s="3" t="s">
        <v>132</v>
      </c>
      <c r="K41" s="3"/>
      <c r="L41" t="s">
        <v>67</v>
      </c>
      <c r="M41" t="s">
        <v>41</v>
      </c>
    </row>
    <row r="42" spans="8:14" ht="18" customHeight="1" x14ac:dyDescent="0.45">
      <c r="H42" s="35" t="s">
        <v>33</v>
      </c>
      <c r="I42" s="58">
        <v>2.6</v>
      </c>
      <c r="J42" s="3" t="s">
        <v>132</v>
      </c>
      <c r="K42" s="3"/>
      <c r="L42" t="s">
        <v>67</v>
      </c>
      <c r="M42" t="s">
        <v>43</v>
      </c>
    </row>
    <row r="43" spans="8:14" ht="18" customHeight="1" x14ac:dyDescent="0.45">
      <c r="H43" s="35" t="s">
        <v>34</v>
      </c>
      <c r="I43" s="58">
        <v>2.9</v>
      </c>
      <c r="J43" s="3" t="s">
        <v>132</v>
      </c>
      <c r="K43" s="3"/>
      <c r="L43" t="s">
        <v>62</v>
      </c>
      <c r="M43" t="s">
        <v>36</v>
      </c>
    </row>
    <row r="44" spans="8:14" ht="18" customHeight="1" x14ac:dyDescent="0.45">
      <c r="H44" s="35" t="s">
        <v>35</v>
      </c>
      <c r="I44" s="58">
        <v>2.9</v>
      </c>
      <c r="J44" s="3" t="s">
        <v>132</v>
      </c>
      <c r="K44" s="3"/>
      <c r="L44" t="s">
        <v>62</v>
      </c>
      <c r="M44" t="s">
        <v>37</v>
      </c>
    </row>
    <row r="45" spans="8:14" ht="18" customHeight="1" x14ac:dyDescent="0.45">
      <c r="H45" s="35" t="s">
        <v>134</v>
      </c>
      <c r="I45" s="58">
        <v>2.9</v>
      </c>
      <c r="J45" s="3" t="s">
        <v>132</v>
      </c>
      <c r="K45" s="3"/>
      <c r="L45" t="s">
        <v>62</v>
      </c>
      <c r="M45" t="s">
        <v>38</v>
      </c>
    </row>
    <row r="46" spans="8:14" ht="18" customHeight="1" x14ac:dyDescent="0.45">
      <c r="H46" s="35" t="s">
        <v>125</v>
      </c>
      <c r="I46" s="58">
        <v>2.2000000000000002</v>
      </c>
      <c r="J46" s="3" t="s">
        <v>132</v>
      </c>
      <c r="K46" s="3"/>
      <c r="L46" t="s">
        <v>62</v>
      </c>
      <c r="M46" t="s">
        <v>39</v>
      </c>
    </row>
    <row r="47" spans="8:14" ht="18" customHeight="1" x14ac:dyDescent="0.45">
      <c r="H47" s="35" t="s">
        <v>126</v>
      </c>
      <c r="I47" s="58">
        <v>2.2000000000000002</v>
      </c>
      <c r="J47" s="3" t="s">
        <v>132</v>
      </c>
      <c r="K47" s="3"/>
      <c r="L47" t="s">
        <v>62</v>
      </c>
      <c r="M47" t="s">
        <v>41</v>
      </c>
      <c r="N47" t="s">
        <v>49</v>
      </c>
    </row>
    <row r="48" spans="8:14" ht="18" customHeight="1" x14ac:dyDescent="0.45">
      <c r="H48" s="35" t="s">
        <v>127</v>
      </c>
      <c r="I48" s="58">
        <v>2.2000000000000002</v>
      </c>
      <c r="J48" s="3" t="s">
        <v>132</v>
      </c>
      <c r="L48" t="s">
        <v>68</v>
      </c>
      <c r="M48" t="s">
        <v>36</v>
      </c>
    </row>
    <row r="49" spans="12:13" ht="18" customHeight="1" x14ac:dyDescent="0.45">
      <c r="L49" t="s">
        <v>68</v>
      </c>
      <c r="M49" t="s">
        <v>37</v>
      </c>
    </row>
    <row r="50" spans="12:13" ht="18" customHeight="1" x14ac:dyDescent="0.45">
      <c r="L50" t="s">
        <v>68</v>
      </c>
      <c r="M50" t="s">
        <v>38</v>
      </c>
    </row>
    <row r="51" spans="12:13" ht="18" customHeight="1" x14ac:dyDescent="0.45">
      <c r="L51" t="s">
        <v>68</v>
      </c>
      <c r="M51" t="s">
        <v>51</v>
      </c>
    </row>
    <row r="52" spans="12:13" ht="18" customHeight="1" x14ac:dyDescent="0.45">
      <c r="L52" t="s">
        <v>68</v>
      </c>
      <c r="M52" t="s">
        <v>40</v>
      </c>
    </row>
    <row r="53" spans="12:13" ht="18" customHeight="1" x14ac:dyDescent="0.45">
      <c r="L53" t="s">
        <v>68</v>
      </c>
      <c r="M53" t="s">
        <v>39</v>
      </c>
    </row>
    <row r="54" spans="12:13" ht="18" customHeight="1" x14ac:dyDescent="0.45">
      <c r="L54" t="s">
        <v>68</v>
      </c>
      <c r="M54" t="s">
        <v>48</v>
      </c>
    </row>
    <row r="55" spans="12:13" ht="18" customHeight="1" x14ac:dyDescent="0.45">
      <c r="L55" t="s">
        <v>68</v>
      </c>
      <c r="M55" t="s">
        <v>52</v>
      </c>
    </row>
    <row r="56" spans="12:13" ht="18" customHeight="1" x14ac:dyDescent="0.45">
      <c r="L56" t="s">
        <v>68</v>
      </c>
      <c r="M56" t="s">
        <v>41</v>
      </c>
    </row>
    <row r="57" spans="12:13" ht="18" customHeight="1" x14ac:dyDescent="0.45">
      <c r="L57" t="s">
        <v>68</v>
      </c>
      <c r="M57" t="s">
        <v>53</v>
      </c>
    </row>
    <row r="58" spans="12:13" ht="18" customHeight="1" x14ac:dyDescent="0.45">
      <c r="L58" t="s">
        <v>69</v>
      </c>
      <c r="M58" t="s">
        <v>36</v>
      </c>
    </row>
    <row r="59" spans="12:13" ht="18" customHeight="1" x14ac:dyDescent="0.45">
      <c r="L59" t="s">
        <v>69</v>
      </c>
      <c r="M59" t="s">
        <v>50</v>
      </c>
    </row>
    <row r="60" spans="12:13" ht="18" customHeight="1" x14ac:dyDescent="0.45">
      <c r="L60" t="s">
        <v>69</v>
      </c>
      <c r="M60" t="s">
        <v>46</v>
      </c>
    </row>
    <row r="61" spans="12:13" ht="18" customHeight="1" x14ac:dyDescent="0.45">
      <c r="L61" t="s">
        <v>69</v>
      </c>
      <c r="M61" t="s">
        <v>47</v>
      </c>
    </row>
    <row r="62" spans="12:13" ht="18" customHeight="1" x14ac:dyDescent="0.45">
      <c r="L62" t="s">
        <v>69</v>
      </c>
      <c r="M62" t="s">
        <v>37</v>
      </c>
    </row>
    <row r="63" spans="12:13" ht="18" customHeight="1" x14ac:dyDescent="0.45">
      <c r="L63" t="s">
        <v>69</v>
      </c>
      <c r="M63" t="s">
        <v>38</v>
      </c>
    </row>
    <row r="64" spans="12:13" ht="18" customHeight="1" x14ac:dyDescent="0.45">
      <c r="L64" t="s">
        <v>69</v>
      </c>
      <c r="M64" t="s">
        <v>51</v>
      </c>
    </row>
    <row r="65" spans="12:13" ht="18" customHeight="1" x14ac:dyDescent="0.45">
      <c r="L65" t="s">
        <v>69</v>
      </c>
      <c r="M65" t="s">
        <v>40</v>
      </c>
    </row>
    <row r="66" spans="12:13" ht="18" customHeight="1" x14ac:dyDescent="0.45">
      <c r="L66" t="s">
        <v>69</v>
      </c>
      <c r="M66" t="s">
        <v>39</v>
      </c>
    </row>
    <row r="67" spans="12:13" ht="18" customHeight="1" x14ac:dyDescent="0.45">
      <c r="L67" t="s">
        <v>69</v>
      </c>
      <c r="M67" t="s">
        <v>48</v>
      </c>
    </row>
    <row r="68" spans="12:13" ht="18" customHeight="1" x14ac:dyDescent="0.45">
      <c r="L68" t="s">
        <v>70</v>
      </c>
      <c r="M68" t="s">
        <v>36</v>
      </c>
    </row>
    <row r="69" spans="12:13" ht="18" customHeight="1" x14ac:dyDescent="0.45">
      <c r="L69" t="s">
        <v>70</v>
      </c>
      <c r="M69" t="s">
        <v>37</v>
      </c>
    </row>
    <row r="70" spans="12:13" ht="18" customHeight="1" x14ac:dyDescent="0.45">
      <c r="L70" t="s">
        <v>70</v>
      </c>
      <c r="M70" t="s">
        <v>41</v>
      </c>
    </row>
    <row r="71" spans="12:13" ht="18" customHeight="1" x14ac:dyDescent="0.45">
      <c r="L71" t="s">
        <v>61</v>
      </c>
      <c r="M71" t="s">
        <v>36</v>
      </c>
    </row>
    <row r="72" spans="12:13" ht="18" customHeight="1" x14ac:dyDescent="0.45">
      <c r="L72" t="s">
        <v>61</v>
      </c>
      <c r="M72" t="s">
        <v>50</v>
      </c>
    </row>
    <row r="73" spans="12:13" ht="18" customHeight="1" x14ac:dyDescent="0.45">
      <c r="L73" t="s">
        <v>61</v>
      </c>
      <c r="M73" t="s">
        <v>38</v>
      </c>
    </row>
    <row r="74" spans="12:13" ht="18" customHeight="1" x14ac:dyDescent="0.45">
      <c r="L74" t="s">
        <v>61</v>
      </c>
      <c r="M74" t="s">
        <v>39</v>
      </c>
    </row>
    <row r="75" spans="12:13" ht="18" customHeight="1" x14ac:dyDescent="0.45">
      <c r="L75" t="s">
        <v>59</v>
      </c>
      <c r="M75" t="s">
        <v>54</v>
      </c>
    </row>
    <row r="76" spans="12:13" ht="18" customHeight="1" x14ac:dyDescent="0.45">
      <c r="L76" t="s">
        <v>59</v>
      </c>
      <c r="M76" t="s">
        <v>55</v>
      </c>
    </row>
    <row r="77" spans="12:13" ht="18" customHeight="1" x14ac:dyDescent="0.45">
      <c r="L77" t="s">
        <v>59</v>
      </c>
      <c r="M77" t="s">
        <v>51</v>
      </c>
    </row>
    <row r="78" spans="12:13" ht="18" customHeight="1" x14ac:dyDescent="0.45">
      <c r="L78" t="s">
        <v>59</v>
      </c>
      <c r="M78" t="s">
        <v>42</v>
      </c>
    </row>
    <row r="79" spans="12:13" ht="18" customHeight="1" x14ac:dyDescent="0.45">
      <c r="L79" t="s">
        <v>60</v>
      </c>
      <c r="M79" t="s">
        <v>36</v>
      </c>
    </row>
    <row r="80" spans="12:13" ht="18" customHeight="1" x14ac:dyDescent="0.45">
      <c r="L80" t="s">
        <v>60</v>
      </c>
      <c r="M80" t="s">
        <v>37</v>
      </c>
    </row>
    <row r="81" spans="12:13" ht="18" customHeight="1" x14ac:dyDescent="0.45">
      <c r="L81" t="s">
        <v>60</v>
      </c>
      <c r="M81" t="s">
        <v>38</v>
      </c>
    </row>
    <row r="82" spans="12:13" ht="18" customHeight="1" x14ac:dyDescent="0.45">
      <c r="L82" t="s">
        <v>60</v>
      </c>
      <c r="M82" t="s">
        <v>51</v>
      </c>
    </row>
    <row r="83" spans="12:13" ht="18" customHeight="1" x14ac:dyDescent="0.45">
      <c r="L83" t="s">
        <v>60</v>
      </c>
      <c r="M83" t="s">
        <v>39</v>
      </c>
    </row>
    <row r="84" spans="12:13" ht="18" customHeight="1" x14ac:dyDescent="0.45">
      <c r="L84" t="s">
        <v>60</v>
      </c>
      <c r="M84" t="s">
        <v>42</v>
      </c>
    </row>
    <row r="97" spans="12:12" ht="18" customHeight="1" x14ac:dyDescent="0.45">
      <c r="L97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59F1F-CDF1-42F2-B84B-0E9B47FBE1A2}">
  <sheetPr codeName="Sheet2">
    <pageSetUpPr fitToPage="1"/>
  </sheetPr>
  <dimension ref="A1:U22"/>
  <sheetViews>
    <sheetView workbookViewId="0">
      <selection activeCell="C17" sqref="C17"/>
    </sheetView>
  </sheetViews>
  <sheetFormatPr defaultColWidth="8.796875" defaultRowHeight="18" x14ac:dyDescent="0.45"/>
  <cols>
    <col min="1" max="1" width="20.69921875" style="2" customWidth="1"/>
    <col min="2" max="2" width="16.296875" bestFit="1" customWidth="1"/>
    <col min="3" max="3" width="8" bestFit="1" customWidth="1"/>
    <col min="4" max="4" width="10.69921875" style="35" customWidth="1"/>
    <col min="5" max="5" width="13.5" customWidth="1"/>
    <col min="6" max="6" width="14.19921875" bestFit="1" customWidth="1"/>
    <col min="7" max="7" width="7.796875" customWidth="1"/>
    <col min="8" max="8" width="10.69921875" customWidth="1"/>
    <col min="9" max="9" width="13.5" customWidth="1"/>
    <col min="10" max="10" width="11.19921875" customWidth="1"/>
    <col min="11" max="11" width="13.5" customWidth="1"/>
    <col min="12" max="12" width="14" bestFit="1" customWidth="1"/>
    <col min="13" max="13" width="11.5" bestFit="1" customWidth="1"/>
    <col min="14" max="14" width="15.296875" customWidth="1"/>
    <col min="15" max="15" width="13.69921875" customWidth="1"/>
    <col min="16" max="16" width="13.296875" bestFit="1" customWidth="1"/>
    <col min="17" max="17" width="12.296875" bestFit="1" customWidth="1"/>
    <col min="18" max="18" width="14.5" bestFit="1" customWidth="1"/>
    <col min="19" max="19" width="10.3984375" bestFit="1" customWidth="1"/>
  </cols>
  <sheetData>
    <row r="1" spans="2:21" ht="19.8" x14ac:dyDescent="0.45">
      <c r="B1" s="30" t="s">
        <v>100</v>
      </c>
      <c r="C1" s="31" t="s">
        <v>101</v>
      </c>
      <c r="D1" s="32" t="s">
        <v>102</v>
      </c>
      <c r="E1" s="31" t="s">
        <v>103</v>
      </c>
      <c r="F1" s="31" t="s">
        <v>104</v>
      </c>
      <c r="G1" s="31" t="s">
        <v>105</v>
      </c>
      <c r="H1" s="33" t="s">
        <v>106</v>
      </c>
      <c r="I1" s="31" t="s">
        <v>107</v>
      </c>
      <c r="J1" s="31" t="s">
        <v>108</v>
      </c>
      <c r="K1" s="31" t="s">
        <v>109</v>
      </c>
      <c r="L1" s="31" t="s">
        <v>110</v>
      </c>
      <c r="M1" s="31" t="s">
        <v>111</v>
      </c>
      <c r="N1" s="31" t="s">
        <v>112</v>
      </c>
      <c r="O1" s="31" t="s">
        <v>113</v>
      </c>
      <c r="P1" s="31" t="s">
        <v>114</v>
      </c>
      <c r="Q1" s="31" t="s">
        <v>115</v>
      </c>
      <c r="R1" s="31" t="s">
        <v>116</v>
      </c>
      <c r="S1" s="34" t="s">
        <v>117</v>
      </c>
      <c r="T1" s="34" t="s">
        <v>118</v>
      </c>
    </row>
    <row r="2" spans="2:21" x14ac:dyDescent="0.45">
      <c r="B2" t="s">
        <v>165</v>
      </c>
      <c r="C2">
        <v>1</v>
      </c>
      <c r="D2" s="35" t="s">
        <v>158</v>
      </c>
      <c r="E2" t="s">
        <v>119</v>
      </c>
      <c r="F2" s="53">
        <v>45462</v>
      </c>
      <c r="G2">
        <v>26</v>
      </c>
      <c r="H2" s="17">
        <v>2.8917999999999999</v>
      </c>
      <c r="I2" t="s">
        <v>120</v>
      </c>
      <c r="J2">
        <v>349.1</v>
      </c>
      <c r="K2" s="57">
        <v>42.4</v>
      </c>
      <c r="L2" t="s">
        <v>40</v>
      </c>
      <c r="M2" t="s">
        <v>188</v>
      </c>
      <c r="N2" t="s">
        <v>159</v>
      </c>
      <c r="O2" t="s">
        <v>160</v>
      </c>
      <c r="P2" t="s">
        <v>161</v>
      </c>
      <c r="Q2" t="s">
        <v>135</v>
      </c>
      <c r="R2" t="s">
        <v>135</v>
      </c>
      <c r="S2" t="str">
        <f ca="1">IF(INDIRECT("R2C9", FALSE)="高温", "Hot", IF(INDIRECT("R2C9", FALSE)="低温", "Cold", IF(INDIRECT("R2C9", FALSE)="浸せき", "Wet", "")))</f>
        <v>Hot</v>
      </c>
      <c r="T2">
        <f>_xlfn.XLOOKUP(TEXT(Hel_SpecSheet!D2, "0"), TEXT(Setting!$H$2:$H$49, "0"), Setting!$I$2:$I$49, "")</f>
        <v>3</v>
      </c>
      <c r="U2" t="s">
        <v>187</v>
      </c>
    </row>
    <row r="3" spans="2:21" x14ac:dyDescent="0.45">
      <c r="B3" t="s">
        <v>166</v>
      </c>
      <c r="C3">
        <v>2</v>
      </c>
      <c r="D3" s="35" t="s">
        <v>158</v>
      </c>
      <c r="E3" t="s">
        <v>119</v>
      </c>
      <c r="F3" s="53">
        <v>45462</v>
      </c>
      <c r="G3">
        <v>26</v>
      </c>
      <c r="H3" s="17">
        <v>2.6594000000000002</v>
      </c>
      <c r="I3" t="s">
        <v>121</v>
      </c>
      <c r="J3">
        <v>349</v>
      </c>
      <c r="K3" s="57">
        <v>42.3</v>
      </c>
      <c r="L3" t="s">
        <v>40</v>
      </c>
      <c r="M3" t="s">
        <v>188</v>
      </c>
      <c r="N3" t="s">
        <v>159</v>
      </c>
      <c r="O3" t="s">
        <v>160</v>
      </c>
      <c r="P3" t="s">
        <v>161</v>
      </c>
      <c r="Q3" t="s">
        <v>135</v>
      </c>
      <c r="R3" t="s">
        <v>135</v>
      </c>
      <c r="S3" t="str">
        <f ca="1">IF(INDIRECT("R3C9", FALSE)="高温", "Hot", IF(INDIRECT("R3C9", FALSE)="低温", "Cold", IF(INDIRECT("R3C9", FALSE)="浸せき", "Wet", "")))</f>
        <v>Cold</v>
      </c>
      <c r="T3">
        <f>_xlfn.XLOOKUP(TEXT(Hel_SpecSheet!D3, "0"), TEXT(Setting!$H$2:$H$49, "0"), Setting!$I$2:$I$49, "")</f>
        <v>3</v>
      </c>
      <c r="U3" t="s">
        <v>187</v>
      </c>
    </row>
    <row r="4" spans="2:21" x14ac:dyDescent="0.45">
      <c r="B4" t="s">
        <v>167</v>
      </c>
      <c r="C4">
        <v>3</v>
      </c>
      <c r="D4" s="35" t="s">
        <v>158</v>
      </c>
      <c r="E4" t="s">
        <v>119</v>
      </c>
      <c r="F4" s="53">
        <v>45462</v>
      </c>
      <c r="G4">
        <v>26</v>
      </c>
      <c r="H4" s="17">
        <v>3.0724999999999998</v>
      </c>
      <c r="I4" t="s">
        <v>122</v>
      </c>
      <c r="J4">
        <v>349</v>
      </c>
      <c r="K4" s="57">
        <v>42.8</v>
      </c>
      <c r="L4" t="s">
        <v>40</v>
      </c>
      <c r="M4" t="s">
        <v>188</v>
      </c>
      <c r="N4" t="s">
        <v>159</v>
      </c>
      <c r="O4" t="s">
        <v>160</v>
      </c>
      <c r="P4" t="s">
        <v>161</v>
      </c>
      <c r="Q4" t="s">
        <v>135</v>
      </c>
      <c r="R4" t="s">
        <v>135</v>
      </c>
      <c r="S4" t="str">
        <f ca="1">IF(INDIRECT("R4C9", FALSE)="高温", "Hot", IF(INDIRECT("R4C9", FALSE)="低温", "Cold", IF(INDIRECT("R4C9", FALSE)="浸せき", "Wet", "")))</f>
        <v>Wet</v>
      </c>
      <c r="T4">
        <f>_xlfn.XLOOKUP(TEXT(Hel_SpecSheet!D4, "0"), TEXT(Setting!$H$2:$H$49, "0"), Setting!$I$2:$I$49, "")</f>
        <v>3</v>
      </c>
      <c r="U4" t="s">
        <v>187</v>
      </c>
    </row>
    <row r="5" spans="2:21" x14ac:dyDescent="0.45">
      <c r="B5" t="s">
        <v>168</v>
      </c>
      <c r="C5">
        <v>4</v>
      </c>
      <c r="D5" s="3" t="s">
        <v>13</v>
      </c>
      <c r="E5" t="s">
        <v>119</v>
      </c>
      <c r="F5" s="53">
        <v>45462</v>
      </c>
      <c r="G5">
        <v>26</v>
      </c>
      <c r="H5" s="17">
        <v>3.4340000000000002</v>
      </c>
      <c r="I5" t="s">
        <v>120</v>
      </c>
      <c r="J5">
        <v>373.4</v>
      </c>
      <c r="K5" s="57">
        <v>41.7</v>
      </c>
      <c r="L5" t="s">
        <v>40</v>
      </c>
      <c r="M5" t="s">
        <v>188</v>
      </c>
      <c r="N5" t="s">
        <v>159</v>
      </c>
      <c r="O5" t="s">
        <v>160</v>
      </c>
      <c r="P5" t="s">
        <v>161</v>
      </c>
      <c r="Q5" t="s">
        <v>135</v>
      </c>
      <c r="R5" t="s">
        <v>135</v>
      </c>
      <c r="S5" t="str">
        <f ca="1">IF(INDIRECT("R5C9", FALSE)="高温", "Hot", IF(INDIRECT("R5C9", FALSE)="低温", "Cold", IF(INDIRECT("R5C9", FALSE)="浸せき", "Wet", "")))</f>
        <v>Hot</v>
      </c>
      <c r="T5">
        <f>_xlfn.XLOOKUP(TEXT(Hel_SpecSheet!D5, "0"), TEXT(Setting!$H$2:$H$49, "0"), Setting!$I$2:$I$49, "")</f>
        <v>3</v>
      </c>
      <c r="U5" t="s">
        <v>187</v>
      </c>
    </row>
    <row r="6" spans="2:21" x14ac:dyDescent="0.45">
      <c r="B6" t="s">
        <v>169</v>
      </c>
      <c r="C6">
        <v>5</v>
      </c>
      <c r="D6" s="3" t="s">
        <v>13</v>
      </c>
      <c r="E6" t="s">
        <v>119</v>
      </c>
      <c r="F6" s="53">
        <v>45462</v>
      </c>
      <c r="G6">
        <v>26</v>
      </c>
      <c r="H6" s="17">
        <v>3.3824000000000001</v>
      </c>
      <c r="I6" t="s">
        <v>121</v>
      </c>
      <c r="J6">
        <v>372.8</v>
      </c>
      <c r="K6" s="57">
        <v>42</v>
      </c>
      <c r="L6" t="s">
        <v>40</v>
      </c>
      <c r="M6" t="s">
        <v>188</v>
      </c>
      <c r="N6" t="s">
        <v>159</v>
      </c>
      <c r="O6" t="s">
        <v>160</v>
      </c>
      <c r="P6" t="s">
        <v>161</v>
      </c>
      <c r="Q6" t="s">
        <v>135</v>
      </c>
      <c r="R6" t="s">
        <v>135</v>
      </c>
      <c r="S6" t="str">
        <f ca="1">IF(INDIRECT("R6C9", FALSE)="高温", "Hot", IF(INDIRECT("R6C9", FALSE)="低温", "Cold", IF(INDIRECT("R6C9", FALSE)="浸せき", "Wet", "")))</f>
        <v>Cold</v>
      </c>
      <c r="T6">
        <f>_xlfn.XLOOKUP(TEXT(Hel_SpecSheet!D6, "0"), TEXT(Setting!$H$2:$H$49, "0"), Setting!$I$2:$I$49, "")</f>
        <v>3</v>
      </c>
      <c r="U6" t="s">
        <v>187</v>
      </c>
    </row>
    <row r="7" spans="2:21" x14ac:dyDescent="0.45">
      <c r="B7" t="s">
        <v>170</v>
      </c>
      <c r="C7">
        <v>6</v>
      </c>
      <c r="D7" s="3" t="s">
        <v>13</v>
      </c>
      <c r="E7" t="s">
        <v>119</v>
      </c>
      <c r="F7" s="53">
        <v>45462</v>
      </c>
      <c r="G7">
        <v>26</v>
      </c>
      <c r="H7" s="17">
        <v>3.6147</v>
      </c>
      <c r="I7" t="s">
        <v>122</v>
      </c>
      <c r="J7">
        <v>372.6</v>
      </c>
      <c r="K7" s="57">
        <v>42.3</v>
      </c>
      <c r="L7" t="s">
        <v>40</v>
      </c>
      <c r="M7" t="s">
        <v>188</v>
      </c>
      <c r="N7" t="s">
        <v>159</v>
      </c>
      <c r="O7" t="s">
        <v>160</v>
      </c>
      <c r="P7" t="s">
        <v>161</v>
      </c>
      <c r="Q7" t="s">
        <v>135</v>
      </c>
      <c r="R7" t="s">
        <v>135</v>
      </c>
      <c r="S7" t="str">
        <f ca="1">IF(INDIRECT("R7C9", FALSE)="高温", "Hot", IF(INDIRECT("R7C9", FALSE)="低温", "Cold", IF(INDIRECT("R7C9", FALSE)="浸せき", "Wet", "")))</f>
        <v>Wet</v>
      </c>
      <c r="T7">
        <f>_xlfn.XLOOKUP(TEXT(Hel_SpecSheet!D7, "0"), TEXT(Setting!$H$2:$H$49, "0"), Setting!$I$2:$I$49, "")</f>
        <v>3</v>
      </c>
      <c r="U7" t="s">
        <v>187</v>
      </c>
    </row>
    <row r="8" spans="2:21" x14ac:dyDescent="0.45">
      <c r="B8" t="s">
        <v>171</v>
      </c>
      <c r="C8">
        <v>4</v>
      </c>
      <c r="D8" s="3" t="s">
        <v>13</v>
      </c>
      <c r="E8" t="s">
        <v>130</v>
      </c>
      <c r="F8" s="53">
        <v>45462</v>
      </c>
      <c r="G8">
        <v>26</v>
      </c>
      <c r="H8" s="17">
        <v>3.4081999999999999</v>
      </c>
      <c r="I8" t="s">
        <v>120</v>
      </c>
      <c r="J8">
        <v>373.4</v>
      </c>
      <c r="K8" s="57">
        <v>41.7</v>
      </c>
      <c r="L8" t="s">
        <v>40</v>
      </c>
      <c r="M8" t="s">
        <v>188</v>
      </c>
      <c r="N8" t="s">
        <v>159</v>
      </c>
      <c r="O8" t="s">
        <v>160</v>
      </c>
      <c r="P8" t="s">
        <v>161</v>
      </c>
      <c r="Q8" t="s">
        <v>135</v>
      </c>
      <c r="R8" t="s">
        <v>135</v>
      </c>
      <c r="S8" t="str">
        <f ca="1">IF(INDIRECT("R8C9", FALSE)="高温", "Hot", IF(INDIRECT("R8C9", FALSE)="低温", "Cold", IF(INDIRECT("R8C9", FALSE)="浸せき", "Wet", "")))</f>
        <v>Hot</v>
      </c>
      <c r="T8">
        <f>_xlfn.XLOOKUP(TEXT(Hel_SpecSheet!D8, "0"), TEXT(Setting!$H$2:$H$49, "0"), Setting!$I$2:$I$49, "")</f>
        <v>3</v>
      </c>
      <c r="U8" t="s">
        <v>187</v>
      </c>
    </row>
    <row r="9" spans="2:21" x14ac:dyDescent="0.45">
      <c r="B9" t="s">
        <v>172</v>
      </c>
      <c r="C9">
        <v>5</v>
      </c>
      <c r="D9" s="3" t="s">
        <v>13</v>
      </c>
      <c r="E9" t="s">
        <v>130</v>
      </c>
      <c r="F9" s="53">
        <v>45462</v>
      </c>
      <c r="G9">
        <v>26</v>
      </c>
      <c r="H9" s="17">
        <v>3.1758000000000002</v>
      </c>
      <c r="I9" t="s">
        <v>121</v>
      </c>
      <c r="J9">
        <v>372.8</v>
      </c>
      <c r="K9" s="57">
        <v>42</v>
      </c>
      <c r="L9" t="s">
        <v>40</v>
      </c>
      <c r="M9" t="s">
        <v>188</v>
      </c>
      <c r="N9" t="s">
        <v>159</v>
      </c>
      <c r="O9" t="s">
        <v>160</v>
      </c>
      <c r="P9" t="s">
        <v>161</v>
      </c>
      <c r="Q9" t="s">
        <v>135</v>
      </c>
      <c r="R9" t="s">
        <v>135</v>
      </c>
      <c r="S9" t="str">
        <f ca="1">IF(INDIRECT("R9C9", FALSE)="高温", "Hot", IF(INDIRECT("R9C9", FALSE)="低温", "Cold", IF(INDIRECT("R9C9", FALSE)="浸せき", "Wet", "")))</f>
        <v>Cold</v>
      </c>
      <c r="T9">
        <f>_xlfn.XLOOKUP(TEXT(Hel_SpecSheet!D9, "0"), TEXT(Setting!$H$2:$H$49, "0"), Setting!$I$2:$I$49, "")</f>
        <v>3</v>
      </c>
      <c r="U9" t="s">
        <v>187</v>
      </c>
    </row>
    <row r="10" spans="2:21" x14ac:dyDescent="0.45">
      <c r="B10" t="s">
        <v>173</v>
      </c>
      <c r="C10">
        <v>6</v>
      </c>
      <c r="D10" s="3" t="s">
        <v>13</v>
      </c>
      <c r="E10" t="s">
        <v>130</v>
      </c>
      <c r="F10" s="53">
        <v>45462</v>
      </c>
      <c r="G10">
        <v>26</v>
      </c>
      <c r="H10" s="17">
        <v>3.2532999999999999</v>
      </c>
      <c r="I10" t="s">
        <v>122</v>
      </c>
      <c r="J10">
        <v>372.6</v>
      </c>
      <c r="K10" s="57">
        <v>42.3</v>
      </c>
      <c r="L10" t="s">
        <v>40</v>
      </c>
      <c r="M10" t="s">
        <v>188</v>
      </c>
      <c r="N10" t="s">
        <v>159</v>
      </c>
      <c r="O10" t="s">
        <v>160</v>
      </c>
      <c r="P10" t="s">
        <v>161</v>
      </c>
      <c r="Q10" t="s">
        <v>135</v>
      </c>
      <c r="R10" t="s">
        <v>135</v>
      </c>
      <c r="S10" t="str">
        <f ca="1">IF(INDIRECT("R10C9", FALSE)="高温", "Hot", IF(INDIRECT("R10C9", FALSE)="低温", "Cold", IF(INDIRECT("R10C9", FALSE)="浸せき", "Wet", "")))</f>
        <v>Wet</v>
      </c>
      <c r="T10">
        <f>_xlfn.XLOOKUP(TEXT(Hel_SpecSheet!D10, "0"), TEXT(Setting!$H$2:$H$49, "0"), Setting!$I$2:$I$49, "")</f>
        <v>3</v>
      </c>
      <c r="U10" t="s">
        <v>187</v>
      </c>
    </row>
    <row r="11" spans="2:21" x14ac:dyDescent="0.45">
      <c r="B11" t="s">
        <v>174</v>
      </c>
      <c r="C11">
        <v>4</v>
      </c>
      <c r="D11" s="3" t="s">
        <v>13</v>
      </c>
      <c r="E11" t="s">
        <v>136</v>
      </c>
      <c r="F11" s="53">
        <v>45462</v>
      </c>
      <c r="G11">
        <v>26</v>
      </c>
      <c r="H11" s="17">
        <v>6.226</v>
      </c>
      <c r="I11" t="s">
        <v>120</v>
      </c>
      <c r="J11">
        <v>373.4</v>
      </c>
      <c r="K11" s="57">
        <v>41.7</v>
      </c>
      <c r="L11" t="s">
        <v>40</v>
      </c>
      <c r="M11" t="s">
        <v>188</v>
      </c>
      <c r="N11" t="s">
        <v>159</v>
      </c>
      <c r="O11" t="s">
        <v>160</v>
      </c>
      <c r="P11" t="s">
        <v>161</v>
      </c>
      <c r="Q11" t="s">
        <v>135</v>
      </c>
      <c r="R11" t="s">
        <v>135</v>
      </c>
      <c r="S11" t="str">
        <f ca="1">IF(INDIRECT("R11C9", FALSE)="高温", "Hot", IF(INDIRECT("R11C9", FALSE)="低温", "Cold", IF(INDIRECT("R11C9", FALSE)="浸せき", "Wet", "")))</f>
        <v>Hot</v>
      </c>
      <c r="T11">
        <f>_xlfn.XLOOKUP(TEXT(Hel_SpecSheet!D11, "0"), TEXT(Setting!$H$2:$H$49, "0"), Setting!$I$2:$I$49, "")</f>
        <v>3</v>
      </c>
      <c r="U11" t="s">
        <v>187</v>
      </c>
    </row>
    <row r="12" spans="2:21" x14ac:dyDescent="0.45">
      <c r="B12" t="s">
        <v>175</v>
      </c>
      <c r="C12">
        <v>5</v>
      </c>
      <c r="D12" s="3" t="s">
        <v>13</v>
      </c>
      <c r="E12" t="s">
        <v>136</v>
      </c>
      <c r="F12" s="53">
        <v>45462</v>
      </c>
      <c r="G12">
        <v>26</v>
      </c>
      <c r="H12" s="17">
        <v>6.6151999999999997</v>
      </c>
      <c r="I12" t="s">
        <v>121</v>
      </c>
      <c r="J12">
        <v>372.8</v>
      </c>
      <c r="K12" s="57">
        <v>42</v>
      </c>
      <c r="L12" t="s">
        <v>40</v>
      </c>
      <c r="M12" t="s">
        <v>188</v>
      </c>
      <c r="N12" t="s">
        <v>159</v>
      </c>
      <c r="O12" t="s">
        <v>160</v>
      </c>
      <c r="P12" t="s">
        <v>161</v>
      </c>
      <c r="Q12" t="s">
        <v>135</v>
      </c>
      <c r="R12" t="s">
        <v>135</v>
      </c>
      <c r="S12" t="str">
        <f ca="1">IF(INDIRECT("R12C9", FALSE)="高温", "Hot", IF(INDIRECT("R12C9", FALSE)="低温", "Cold", IF(INDIRECT("R12C9", FALSE)="浸せき", "Wet", "")))</f>
        <v>Cold</v>
      </c>
      <c r="T12">
        <f>_xlfn.XLOOKUP(TEXT(Hel_SpecSheet!D12, "0"), TEXT(Setting!$H$2:$H$49, "0"), Setting!$I$2:$I$49, "")</f>
        <v>3</v>
      </c>
      <c r="U12" t="s">
        <v>187</v>
      </c>
    </row>
    <row r="13" spans="2:21" x14ac:dyDescent="0.45">
      <c r="B13" t="s">
        <v>176</v>
      </c>
      <c r="C13">
        <v>6</v>
      </c>
      <c r="D13" s="3" t="s">
        <v>13</v>
      </c>
      <c r="E13" t="s">
        <v>136</v>
      </c>
      <c r="F13" s="53">
        <v>45462</v>
      </c>
      <c r="G13">
        <v>26</v>
      </c>
      <c r="H13" s="17">
        <v>6.2907999999999999</v>
      </c>
      <c r="I13" t="s">
        <v>122</v>
      </c>
      <c r="J13">
        <v>372.6</v>
      </c>
      <c r="K13" s="57">
        <v>42.3</v>
      </c>
      <c r="L13" t="s">
        <v>40</v>
      </c>
      <c r="M13" t="s">
        <v>188</v>
      </c>
      <c r="N13" t="s">
        <v>159</v>
      </c>
      <c r="O13" t="s">
        <v>160</v>
      </c>
      <c r="P13" t="s">
        <v>161</v>
      </c>
      <c r="Q13" t="s">
        <v>135</v>
      </c>
      <c r="R13" t="s">
        <v>135</v>
      </c>
      <c r="S13" t="str">
        <f ca="1">IF(INDIRECT("R13C9", FALSE)="高温", "Hot", IF(INDIRECT("R13C9", FALSE)="低温", "Cold", IF(INDIRECT("R13C9", FALSE)="浸せき", "Wet", "")))</f>
        <v>Wet</v>
      </c>
      <c r="T13">
        <f>_xlfn.XLOOKUP(TEXT(Hel_SpecSheet!D13, "0"), TEXT(Setting!$H$2:$H$49, "0"), Setting!$I$2:$I$49, "")</f>
        <v>3</v>
      </c>
      <c r="U13" t="s">
        <v>187</v>
      </c>
    </row>
    <row r="14" spans="2:21" x14ac:dyDescent="0.45">
      <c r="B14" t="s">
        <v>177</v>
      </c>
      <c r="C14">
        <v>7</v>
      </c>
      <c r="D14" s="3" t="s">
        <v>25</v>
      </c>
      <c r="E14" t="s">
        <v>119</v>
      </c>
      <c r="F14" s="53">
        <v>45462</v>
      </c>
      <c r="G14">
        <v>26</v>
      </c>
      <c r="H14" s="17">
        <v>5.7072000000000003</v>
      </c>
      <c r="I14" t="s">
        <v>120</v>
      </c>
      <c r="J14">
        <v>394.3</v>
      </c>
      <c r="K14" s="57">
        <v>41.199999999999996</v>
      </c>
      <c r="L14" t="s">
        <v>162</v>
      </c>
      <c r="M14" t="s">
        <v>188</v>
      </c>
      <c r="N14" t="s">
        <v>159</v>
      </c>
      <c r="O14" t="s">
        <v>163</v>
      </c>
      <c r="P14" t="s">
        <v>164</v>
      </c>
      <c r="Q14" t="s">
        <v>135</v>
      </c>
      <c r="R14" t="s">
        <v>135</v>
      </c>
      <c r="S14" t="str">
        <f ca="1">IF(INDIRECT("R14C9", FALSE)="高温", "Hot", IF(INDIRECT("R14C9", FALSE)="低温", "Cold", IF(INDIRECT("R14C9", FALSE)="浸せき", "Wet", "")))</f>
        <v>Hot</v>
      </c>
      <c r="T14">
        <f>_xlfn.XLOOKUP(TEXT(Hel_SpecSheet!D14, "0"), TEXT(Setting!$H$2:$H$49, "0"), Setting!$I$2:$I$49, "")</f>
        <v>2.7</v>
      </c>
      <c r="U14" t="s">
        <v>187</v>
      </c>
    </row>
    <row r="15" spans="2:21" x14ac:dyDescent="0.45">
      <c r="B15" t="s">
        <v>178</v>
      </c>
      <c r="C15">
        <v>8</v>
      </c>
      <c r="D15" s="3" t="s">
        <v>25</v>
      </c>
      <c r="E15" t="s">
        <v>119</v>
      </c>
      <c r="F15" s="53">
        <v>45462</v>
      </c>
      <c r="G15">
        <v>26</v>
      </c>
      <c r="H15" s="17">
        <v>5.6422999999999996</v>
      </c>
      <c r="I15" t="s">
        <v>121</v>
      </c>
      <c r="J15">
        <v>392.7</v>
      </c>
      <c r="K15" s="57">
        <v>41.4</v>
      </c>
      <c r="L15" t="s">
        <v>162</v>
      </c>
      <c r="M15" t="s">
        <v>188</v>
      </c>
      <c r="N15" t="s">
        <v>159</v>
      </c>
      <c r="O15" t="s">
        <v>163</v>
      </c>
      <c r="P15" t="s">
        <v>164</v>
      </c>
      <c r="Q15" t="s">
        <v>135</v>
      </c>
      <c r="R15" t="s">
        <v>135</v>
      </c>
      <c r="S15" t="str">
        <f ca="1">IF(INDIRECT("R15C9", FALSE)="高温", "Hot", IF(INDIRECT("R15C9", FALSE)="低温", "Cold", IF(INDIRECT("R15C9", FALSE)="浸せき", "Wet", "")))</f>
        <v>Cold</v>
      </c>
      <c r="T15">
        <f>_xlfn.XLOOKUP(TEXT(Hel_SpecSheet!D15, "0"), TEXT(Setting!$H$2:$H$49, "0"), Setting!$I$2:$I$49, "")</f>
        <v>2.7</v>
      </c>
      <c r="U15" t="s">
        <v>187</v>
      </c>
    </row>
    <row r="16" spans="2:21" x14ac:dyDescent="0.45">
      <c r="B16" t="s">
        <v>179</v>
      </c>
      <c r="C16">
        <v>9</v>
      </c>
      <c r="D16" s="3" t="s">
        <v>25</v>
      </c>
      <c r="E16" t="s">
        <v>119</v>
      </c>
      <c r="F16" s="53">
        <v>45462</v>
      </c>
      <c r="G16">
        <v>26</v>
      </c>
      <c r="H16" s="17">
        <v>5.3829000000000002</v>
      </c>
      <c r="I16" t="s">
        <v>122</v>
      </c>
      <c r="J16">
        <v>392.1</v>
      </c>
      <c r="K16" s="57">
        <v>41.599999999999994</v>
      </c>
      <c r="L16" t="s">
        <v>162</v>
      </c>
      <c r="M16" t="s">
        <v>188</v>
      </c>
      <c r="N16" t="s">
        <v>159</v>
      </c>
      <c r="O16" t="s">
        <v>163</v>
      </c>
      <c r="P16" t="s">
        <v>164</v>
      </c>
      <c r="Q16" t="s">
        <v>135</v>
      </c>
      <c r="R16" t="s">
        <v>135</v>
      </c>
      <c r="S16" t="str">
        <f ca="1">IF(INDIRECT("R16C9", FALSE)="高温", "Hot", IF(INDIRECT("R16C9", FALSE)="低温", "Cold", IF(INDIRECT("R16C9", FALSE)="浸せき", "Wet", "")))</f>
        <v>Wet</v>
      </c>
      <c r="T16">
        <f>_xlfn.XLOOKUP(TEXT(Hel_SpecSheet!D16, "0"), TEXT(Setting!$H$2:$H$49, "0"), Setting!$I$2:$I$49, "")</f>
        <v>2.7</v>
      </c>
      <c r="U16" t="s">
        <v>187</v>
      </c>
    </row>
    <row r="17" spans="2:21" x14ac:dyDescent="0.45">
      <c r="B17" t="s">
        <v>180</v>
      </c>
      <c r="C17">
        <v>7</v>
      </c>
      <c r="D17" s="3" t="s">
        <v>25</v>
      </c>
      <c r="E17" t="s">
        <v>130</v>
      </c>
      <c r="F17" s="53">
        <v>45462</v>
      </c>
      <c r="G17">
        <v>26</v>
      </c>
      <c r="H17" s="17">
        <v>6.6820000000000004</v>
      </c>
      <c r="I17" t="s">
        <v>120</v>
      </c>
      <c r="J17">
        <v>394.3</v>
      </c>
      <c r="K17" s="57">
        <v>41.199999999999996</v>
      </c>
      <c r="L17" t="s">
        <v>162</v>
      </c>
      <c r="M17" t="s">
        <v>188</v>
      </c>
      <c r="N17" t="s">
        <v>159</v>
      </c>
      <c r="O17" t="s">
        <v>163</v>
      </c>
      <c r="P17" t="s">
        <v>164</v>
      </c>
      <c r="Q17" t="s">
        <v>135</v>
      </c>
      <c r="R17" t="s">
        <v>135</v>
      </c>
      <c r="S17" t="str">
        <f ca="1">IF(INDIRECT("R17C9", FALSE)="高温", "Hot", IF(INDIRECT("R17C9", FALSE)="低温", "Cold", IF(INDIRECT("R17C9", FALSE)="浸せき", "Wet", "")))</f>
        <v>Hot</v>
      </c>
      <c r="T17">
        <f>_xlfn.XLOOKUP(TEXT(Hel_SpecSheet!D17, "0"), TEXT(Setting!$H$2:$H$49, "0"), Setting!$I$2:$I$49, "")</f>
        <v>2.7</v>
      </c>
      <c r="U17" t="s">
        <v>187</v>
      </c>
    </row>
    <row r="18" spans="2:21" x14ac:dyDescent="0.45">
      <c r="B18" t="s">
        <v>181</v>
      </c>
      <c r="C18">
        <v>8</v>
      </c>
      <c r="D18" s="3" t="s">
        <v>25</v>
      </c>
      <c r="E18" t="s">
        <v>130</v>
      </c>
      <c r="F18" s="53">
        <v>45462</v>
      </c>
      <c r="G18">
        <v>26</v>
      </c>
      <c r="H18" s="17">
        <v>7.1988000000000003</v>
      </c>
      <c r="I18" t="s">
        <v>121</v>
      </c>
      <c r="J18">
        <v>392.7</v>
      </c>
      <c r="K18" s="57">
        <v>41.4</v>
      </c>
      <c r="L18" t="s">
        <v>162</v>
      </c>
      <c r="M18" t="s">
        <v>188</v>
      </c>
      <c r="N18" t="s">
        <v>159</v>
      </c>
      <c r="O18" t="s">
        <v>163</v>
      </c>
      <c r="P18" t="s">
        <v>164</v>
      </c>
      <c r="Q18" t="s">
        <v>135</v>
      </c>
      <c r="R18" t="s">
        <v>135</v>
      </c>
      <c r="S18" t="str">
        <f ca="1">IF(INDIRECT("R18C9", FALSE)="高温", "Hot", IF(INDIRECT("R18C9", FALSE)="低温", "Cold", IF(INDIRECT("R18C9", FALSE)="浸せき", "Wet", "")))</f>
        <v>Cold</v>
      </c>
      <c r="T18">
        <f>_xlfn.XLOOKUP(TEXT(Hel_SpecSheet!D18, "0"), TEXT(Setting!$H$2:$H$49, "0"), Setting!$I$2:$I$49, "")</f>
        <v>2.7</v>
      </c>
      <c r="U18" t="s">
        <v>187</v>
      </c>
    </row>
    <row r="19" spans="2:21" x14ac:dyDescent="0.45">
      <c r="B19" t="s">
        <v>182</v>
      </c>
      <c r="C19">
        <v>9</v>
      </c>
      <c r="D19" s="3" t="s">
        <v>25</v>
      </c>
      <c r="E19" t="s">
        <v>130</v>
      </c>
      <c r="F19" s="53">
        <v>45462</v>
      </c>
      <c r="G19">
        <v>26</v>
      </c>
      <c r="H19" s="17">
        <v>7.0042999999999997</v>
      </c>
      <c r="I19" t="s">
        <v>122</v>
      </c>
      <c r="J19">
        <v>392.1</v>
      </c>
      <c r="K19" s="57">
        <v>41.599999999999994</v>
      </c>
      <c r="L19" t="s">
        <v>162</v>
      </c>
      <c r="M19" t="s">
        <v>188</v>
      </c>
      <c r="N19" t="s">
        <v>159</v>
      </c>
      <c r="O19" t="s">
        <v>163</v>
      </c>
      <c r="P19" t="s">
        <v>164</v>
      </c>
      <c r="Q19" t="s">
        <v>135</v>
      </c>
      <c r="R19" t="s">
        <v>135</v>
      </c>
      <c r="S19" t="str">
        <f ca="1">IF(INDIRECT("R19C9", FALSE)="高温", "Hot", IF(INDIRECT("R19C9", FALSE)="低温", "Cold", IF(INDIRECT("R19C9", FALSE)="浸せき", "Wet", "")))</f>
        <v>Wet</v>
      </c>
      <c r="T19">
        <f>_xlfn.XLOOKUP(TEXT(Hel_SpecSheet!D19, "0"), TEXT(Setting!$H$2:$H$49, "0"), Setting!$I$2:$I$49, "")</f>
        <v>2.7</v>
      </c>
      <c r="U19" t="s">
        <v>187</v>
      </c>
    </row>
    <row r="20" spans="2:21" x14ac:dyDescent="0.45">
      <c r="B20" t="s">
        <v>183</v>
      </c>
      <c r="C20">
        <v>7</v>
      </c>
      <c r="D20" s="3" t="s">
        <v>25</v>
      </c>
      <c r="E20" t="s">
        <v>136</v>
      </c>
      <c r="F20" s="53">
        <v>45462</v>
      </c>
      <c r="G20">
        <v>26</v>
      </c>
      <c r="H20" s="17">
        <v>6.6849999999999996</v>
      </c>
      <c r="I20" t="s">
        <v>120</v>
      </c>
      <c r="J20">
        <v>394.3</v>
      </c>
      <c r="K20" s="57">
        <v>41.199999999999996</v>
      </c>
      <c r="L20" t="s">
        <v>162</v>
      </c>
      <c r="M20" t="s">
        <v>188</v>
      </c>
      <c r="N20" t="s">
        <v>159</v>
      </c>
      <c r="O20" t="s">
        <v>163</v>
      </c>
      <c r="P20" t="s">
        <v>164</v>
      </c>
      <c r="Q20" t="s">
        <v>135</v>
      </c>
      <c r="R20" t="s">
        <v>135</v>
      </c>
      <c r="S20" t="str">
        <f ca="1">IF(INDIRECT("R20C9", FALSE)="高温", "Hot", IF(INDIRECT("R20C9", FALSE)="低温", "Cold", IF(INDIRECT("R20C9", FALSE)="浸せき", "Wet", "")))</f>
        <v>Hot</v>
      </c>
      <c r="T20">
        <f>_xlfn.XLOOKUP(TEXT(Hel_SpecSheet!D20, "0"), TEXT(Setting!$H$2:$H$49, "0"), Setting!$I$2:$I$49, "")</f>
        <v>2.7</v>
      </c>
      <c r="U20" t="s">
        <v>187</v>
      </c>
    </row>
    <row r="21" spans="2:21" x14ac:dyDescent="0.45">
      <c r="B21" t="s">
        <v>184</v>
      </c>
      <c r="C21">
        <v>8</v>
      </c>
      <c r="D21" s="3" t="s">
        <v>25</v>
      </c>
      <c r="E21" t="s">
        <v>136</v>
      </c>
      <c r="F21" s="53">
        <v>45462</v>
      </c>
      <c r="G21">
        <v>26</v>
      </c>
      <c r="H21" s="17">
        <v>6.2906000000000004</v>
      </c>
      <c r="I21" t="s">
        <v>121</v>
      </c>
      <c r="J21">
        <v>392.7</v>
      </c>
      <c r="K21" s="57">
        <v>41.4</v>
      </c>
      <c r="L21" t="s">
        <v>162</v>
      </c>
      <c r="M21" t="s">
        <v>188</v>
      </c>
      <c r="N21" t="s">
        <v>159</v>
      </c>
      <c r="O21" t="s">
        <v>163</v>
      </c>
      <c r="P21" t="s">
        <v>164</v>
      </c>
      <c r="Q21" t="s">
        <v>135</v>
      </c>
      <c r="R21" t="s">
        <v>135</v>
      </c>
      <c r="S21" t="str">
        <f ca="1">IF(INDIRECT("R21C9", FALSE)="高温", "Hot", IF(INDIRECT("R21C9", FALSE)="低温", "Cold", IF(INDIRECT("R21C9", FALSE)="浸せき", "Wet", "")))</f>
        <v>Cold</v>
      </c>
      <c r="T21">
        <f>_xlfn.XLOOKUP(TEXT(Hel_SpecSheet!D21, "0"), TEXT(Setting!$H$2:$H$49, "0"), Setting!$I$2:$I$49, "")</f>
        <v>2.7</v>
      </c>
      <c r="U21" t="s">
        <v>187</v>
      </c>
    </row>
    <row r="22" spans="2:21" x14ac:dyDescent="0.45">
      <c r="B22" t="s">
        <v>185</v>
      </c>
      <c r="C22">
        <v>9</v>
      </c>
      <c r="D22" s="3" t="s">
        <v>25</v>
      </c>
      <c r="E22" t="s">
        <v>136</v>
      </c>
      <c r="F22" s="53">
        <v>45462</v>
      </c>
      <c r="G22">
        <v>26</v>
      </c>
      <c r="H22" s="17">
        <v>6.2904999999999998</v>
      </c>
      <c r="I22" t="s">
        <v>122</v>
      </c>
      <c r="J22">
        <v>392.1</v>
      </c>
      <c r="K22" s="57">
        <v>41.599999999999994</v>
      </c>
      <c r="L22" t="s">
        <v>162</v>
      </c>
      <c r="M22" t="s">
        <v>188</v>
      </c>
      <c r="N22" t="s">
        <v>159</v>
      </c>
      <c r="O22" t="s">
        <v>163</v>
      </c>
      <c r="P22" t="s">
        <v>164</v>
      </c>
      <c r="Q22" t="s">
        <v>135</v>
      </c>
      <c r="R22" t="s">
        <v>135</v>
      </c>
      <c r="S22" t="str">
        <f ca="1">IF(INDIRECT("R22C9", FALSE)="高温", "Hot", IF(INDIRECT("R22C9", FALSE)="低温", "Cold", IF(INDIRECT("R22C9", FALSE)="浸せき", "Wet", "")))</f>
        <v>Wet</v>
      </c>
      <c r="T22">
        <f>_xlfn.XLOOKUP(TEXT(Hel_SpecSheet!D22, "0"), TEXT(Setting!$H$2:$H$49, "0"), Setting!$I$2:$I$49, "")</f>
        <v>2.7</v>
      </c>
      <c r="U22" t="s">
        <v>187</v>
      </c>
    </row>
  </sheetData>
  <phoneticPr fontId="2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1BF9F-6ADF-4F0F-B42D-A02D53534F61}">
  <sheetPr codeName="Sheet3"/>
  <dimension ref="A1:I26"/>
  <sheetViews>
    <sheetView workbookViewId="0">
      <selection activeCell="F13" sqref="F13:I15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98</v>
      </c>
      <c r="H1" s="83"/>
      <c r="I1" s="83"/>
    </row>
    <row r="2" spans="1:9" ht="20.399999999999999" customHeight="1" x14ac:dyDescent="0.45">
      <c r="A2" s="85" t="s">
        <v>73</v>
      </c>
      <c r="B2" s="86"/>
      <c r="C2" s="84"/>
      <c r="D2" s="84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85" t="s">
        <v>75</v>
      </c>
      <c r="B3" s="86"/>
      <c r="C3" s="84"/>
      <c r="D3" s="84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85" t="s">
        <v>71</v>
      </c>
      <c r="B4" s="86"/>
      <c r="C4" s="84"/>
      <c r="D4" s="84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66"/>
      <c r="F7" s="66"/>
      <c r="G7" s="66"/>
      <c r="H7" s="79"/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66"/>
      <c r="F8" s="66"/>
      <c r="G8" s="66"/>
      <c r="H8" s="79"/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66"/>
      <c r="F9" s="66"/>
      <c r="G9" s="66"/>
      <c r="H9" s="79"/>
      <c r="I9" s="79"/>
    </row>
    <row r="10" spans="1:9" ht="19.2" customHeight="1" x14ac:dyDescent="0.45">
      <c r="A10" s="21" t="s">
        <v>99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94</v>
      </c>
      <c r="C11" s="64"/>
      <c r="D11" s="65"/>
      <c r="E11" s="44"/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78" t="s">
        <v>86</v>
      </c>
      <c r="B13" s="63" t="s">
        <v>95</v>
      </c>
      <c r="C13" s="64"/>
      <c r="D13" s="65"/>
      <c r="E13" s="45"/>
      <c r="F13" s="68"/>
      <c r="G13" s="69"/>
      <c r="H13" s="69"/>
      <c r="I13" s="70"/>
    </row>
    <row r="14" spans="1:9" ht="45.3" customHeight="1" x14ac:dyDescent="0.45">
      <c r="A14" s="78"/>
      <c r="B14" s="63" t="s">
        <v>96</v>
      </c>
      <c r="C14" s="64"/>
      <c r="D14" s="65"/>
      <c r="E14" s="46" t="s">
        <v>211</v>
      </c>
      <c r="F14" s="71"/>
      <c r="G14" s="72"/>
      <c r="H14" s="72"/>
      <c r="I14" s="73"/>
    </row>
    <row r="15" spans="1:9" ht="45.3" customHeight="1" x14ac:dyDescent="0.45">
      <c r="A15" s="78"/>
      <c r="B15" s="63" t="s">
        <v>97</v>
      </c>
      <c r="C15" s="64"/>
      <c r="D15" s="65"/>
      <c r="E15" s="36" t="s">
        <v>211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78" t="s">
        <v>87</v>
      </c>
      <c r="B17" s="63" t="s">
        <v>95</v>
      </c>
      <c r="C17" s="64"/>
      <c r="D17" s="65"/>
      <c r="E17" s="45"/>
      <c r="F17" s="68"/>
      <c r="G17" s="69"/>
      <c r="H17" s="69"/>
      <c r="I17" s="70"/>
    </row>
    <row r="18" spans="1:9" ht="45.3" customHeight="1" x14ac:dyDescent="0.45">
      <c r="A18" s="78"/>
      <c r="B18" s="63" t="s">
        <v>96</v>
      </c>
      <c r="C18" s="64"/>
      <c r="D18" s="65"/>
      <c r="E18" s="46" t="s">
        <v>211</v>
      </c>
      <c r="F18" s="71"/>
      <c r="G18" s="72"/>
      <c r="H18" s="72"/>
      <c r="I18" s="73"/>
    </row>
    <row r="19" spans="1:9" ht="45.3" customHeight="1" x14ac:dyDescent="0.45">
      <c r="A19" s="78"/>
      <c r="B19" s="63" t="s">
        <v>97</v>
      </c>
      <c r="C19" s="64"/>
      <c r="D19" s="65"/>
      <c r="E19" s="36" t="s">
        <v>211</v>
      </c>
      <c r="F19" s="74"/>
      <c r="G19" s="75"/>
      <c r="H19" s="75"/>
      <c r="I19" s="76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93</v>
      </c>
    </row>
  </sheetData>
  <mergeCells count="32">
    <mergeCell ref="H6:I6"/>
    <mergeCell ref="A1:F1"/>
    <mergeCell ref="G1:I1"/>
    <mergeCell ref="C2:D2"/>
    <mergeCell ref="C3:D3"/>
    <mergeCell ref="C4:D4"/>
    <mergeCell ref="A4:B4"/>
    <mergeCell ref="A3:B3"/>
    <mergeCell ref="A2:B2"/>
    <mergeCell ref="A6:C6"/>
    <mergeCell ref="D6:G6"/>
    <mergeCell ref="A7:C7"/>
    <mergeCell ref="D7:G7"/>
    <mergeCell ref="H7:I7"/>
    <mergeCell ref="A8:C8"/>
    <mergeCell ref="D8:G8"/>
    <mergeCell ref="H8:I8"/>
    <mergeCell ref="B19:D19"/>
    <mergeCell ref="B18:D18"/>
    <mergeCell ref="B17:D17"/>
    <mergeCell ref="B15:D15"/>
    <mergeCell ref="A9:C9"/>
    <mergeCell ref="D9:G9"/>
    <mergeCell ref="B11:D11"/>
    <mergeCell ref="F17:I19"/>
    <mergeCell ref="F13:I15"/>
    <mergeCell ref="F11:I11"/>
    <mergeCell ref="A17:A19"/>
    <mergeCell ref="H9:I9"/>
    <mergeCell ref="A13:A15"/>
    <mergeCell ref="B14:D14"/>
    <mergeCell ref="B13:D1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DFD47-D7DA-43C4-B55D-25C624B52DE8}">
  <sheetPr codeName="Sheet18"/>
  <dimension ref="A1"/>
  <sheetViews>
    <sheetView workbookViewId="0">
      <selection activeCell="D40" sqref="D40"/>
    </sheetView>
  </sheetViews>
  <sheetFormatPr defaultRowHeight="18" x14ac:dyDescent="0.45"/>
  <sheetData/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LOG_Helmet</vt:lpstr>
      <vt:lpstr>Setting</vt:lpstr>
      <vt:lpstr>Hel_SpecSheet</vt:lpstr>
      <vt:lpstr>InspectionSheet</vt:lpstr>
      <vt:lpstr>CopiedSheetNames</vt:lpstr>
      <vt:lpstr>Hel_SpecSheet!Print_Area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2024-05-17T07:58:09Z</cp:lastPrinted>
  <dcterms:created xsi:type="dcterms:W3CDTF">2022-12-16T04:02:05Z</dcterms:created>
  <dcterms:modified xsi:type="dcterms:W3CDTF">2024-07-03T03:53:43Z</dcterms:modified>
</cp:coreProperties>
</file>