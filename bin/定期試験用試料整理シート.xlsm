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Dropbox\Development\VBA\bin\"/>
    </mc:Choice>
  </mc:AlternateContent>
  <xr:revisionPtr revIDLastSave="0" documentId="13_ncr:1_{1A221BEF-7112-4230-96A0-01297E960572}" xr6:coauthVersionLast="47" xr6:coauthVersionMax="47" xr10:uidLastSave="{00000000-0000-0000-0000-000000000000}"/>
  <bookViews>
    <workbookView xWindow="624" yWindow="408" windowWidth="21408" windowHeight="22464" xr2:uid="{C5EE6525-B984-4DAD-8D5D-B20B843C30DB}"/>
  </bookViews>
  <sheets>
    <sheet name="Setting" sheetId="56" r:id="rId1"/>
    <sheet name="ProgressTable" sheetId="5" r:id="rId2"/>
    <sheet name="Hel_SpecSheet" sheetId="29" r:id="rId3"/>
    <sheet name="HelmetCollection" sheetId="4" r:id="rId4"/>
    <sheet name="製造依頼" sheetId="38" r:id="rId5"/>
    <sheet name="スペック記入依頼" sheetId="6" r:id="rId6"/>
  </sheets>
  <functionGroups builtInGroupCount="19"/>
  <definedNames>
    <definedName name="_xlnm._FilterDatabase" localSheetId="2" hidden="1">Hel_SpecSheet!$B$1:$T$1</definedName>
    <definedName name="_xlnm._FilterDatabase" localSheetId="3" hidden="1">HelmetCollection!$A$1:$H$48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38" l="1"/>
  <c r="D10" i="5"/>
  <c r="C10" i="5"/>
  <c r="D9" i="5"/>
  <c r="C9" i="5"/>
  <c r="D8" i="5"/>
  <c r="C8" i="5"/>
  <c r="D7" i="5"/>
  <c r="C7" i="5"/>
  <c r="D6" i="5"/>
  <c r="C6" i="5"/>
  <c r="D5" i="5"/>
  <c r="C5" i="5"/>
  <c r="D4" i="5"/>
  <c r="C4" i="5"/>
  <c r="D3" i="5"/>
  <c r="C3" i="5"/>
  <c r="D2" i="5"/>
  <c r="C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tc={DBCABC67-714A-4A95-8E25-48D1A811E017}</author>
  </authors>
  <commentList>
    <comment ref="A2" authorId="0" shapeId="0" xr:uid="{DBCABC67-714A-4A95-8E25-48D1A811E0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製造ロットなどを記入してから、マクロを起動してください。</t>
      </text>
    </comment>
  </commentList>
</comments>
</file>

<file path=xl/sharedStrings.xml><?xml version="1.0" encoding="utf-8"?>
<sst xmlns="http://schemas.openxmlformats.org/spreadsheetml/2006/main" count="532" uniqueCount="233">
  <si>
    <t>110F</t>
    <phoneticPr fontId="1"/>
  </si>
  <si>
    <t>140F</t>
    <phoneticPr fontId="1"/>
  </si>
  <si>
    <t>170F</t>
    <phoneticPr fontId="1"/>
  </si>
  <si>
    <t>170SF</t>
    <phoneticPr fontId="1"/>
  </si>
  <si>
    <t>170LF</t>
    <phoneticPr fontId="1"/>
  </si>
  <si>
    <t>171F</t>
    <phoneticPr fontId="1"/>
  </si>
  <si>
    <t>300F</t>
    <phoneticPr fontId="1"/>
  </si>
  <si>
    <t>310F</t>
    <phoneticPr fontId="1"/>
  </si>
  <si>
    <t>360F</t>
    <phoneticPr fontId="1"/>
  </si>
  <si>
    <t>370F</t>
    <phoneticPr fontId="1"/>
  </si>
  <si>
    <t>375F</t>
    <phoneticPr fontId="1"/>
  </si>
  <si>
    <t>380F</t>
    <phoneticPr fontId="1"/>
  </si>
  <si>
    <t>385F</t>
    <phoneticPr fontId="1"/>
  </si>
  <si>
    <t>390F</t>
    <phoneticPr fontId="1"/>
  </si>
  <si>
    <t>391F</t>
    <phoneticPr fontId="1"/>
  </si>
  <si>
    <t>393F</t>
    <phoneticPr fontId="1"/>
  </si>
  <si>
    <t>398F</t>
    <phoneticPr fontId="1"/>
  </si>
  <si>
    <t>397F</t>
    <phoneticPr fontId="1"/>
  </si>
  <si>
    <t>396F</t>
    <phoneticPr fontId="1"/>
  </si>
  <si>
    <t>397FSH</t>
    <phoneticPr fontId="1"/>
  </si>
  <si>
    <t>215F</t>
    <phoneticPr fontId="1"/>
  </si>
  <si>
    <t>217F</t>
    <phoneticPr fontId="1"/>
  </si>
  <si>
    <t>219F</t>
    <phoneticPr fontId="1"/>
  </si>
  <si>
    <t>260F</t>
    <phoneticPr fontId="1"/>
  </si>
  <si>
    <t>280F</t>
    <phoneticPr fontId="1"/>
  </si>
  <si>
    <t>396FEM</t>
    <phoneticPr fontId="1"/>
  </si>
  <si>
    <t>395F</t>
    <phoneticPr fontId="1"/>
  </si>
  <si>
    <t>110SF</t>
    <phoneticPr fontId="1"/>
  </si>
  <si>
    <t>392F</t>
    <phoneticPr fontId="1"/>
  </si>
  <si>
    <t>帽体No.</t>
    <rPh sb="0" eb="2">
      <t>ボウタイ</t>
    </rPh>
    <phoneticPr fontId="1"/>
  </si>
  <si>
    <t>試験月</t>
    <rPh sb="0" eb="2">
      <t>シケン</t>
    </rPh>
    <rPh sb="2" eb="3">
      <t>ツキ</t>
    </rPh>
    <phoneticPr fontId="1"/>
  </si>
  <si>
    <t>組立班</t>
    <rPh sb="0" eb="2">
      <t>クミタテ</t>
    </rPh>
    <rPh sb="2" eb="3">
      <t>ハン</t>
    </rPh>
    <phoneticPr fontId="1"/>
  </si>
  <si>
    <t>ID</t>
    <phoneticPr fontId="1"/>
  </si>
  <si>
    <t>試料名</t>
    <rPh sb="0" eb="2">
      <t>シリョウ</t>
    </rPh>
    <rPh sb="2" eb="3">
      <t>メイ</t>
    </rPh>
    <phoneticPr fontId="1"/>
  </si>
  <si>
    <t>品番</t>
    <rPh sb="0" eb="2">
      <t>ヒンバン</t>
    </rPh>
    <phoneticPr fontId="1"/>
  </si>
  <si>
    <t>色</t>
    <rPh sb="0" eb="1">
      <t>イロ</t>
    </rPh>
    <phoneticPr fontId="1"/>
  </si>
  <si>
    <t>製造ロット</t>
    <rPh sb="0" eb="2">
      <t>セイゾウ</t>
    </rPh>
    <phoneticPr fontId="1"/>
  </si>
  <si>
    <t>帽体ロット</t>
    <rPh sb="0" eb="2">
      <t>ボウタイ</t>
    </rPh>
    <phoneticPr fontId="1"/>
  </si>
  <si>
    <t>内装ロット</t>
    <rPh sb="0" eb="2">
      <t>ナイソウ</t>
    </rPh>
    <phoneticPr fontId="1"/>
  </si>
  <si>
    <t>初回製造月</t>
    <rPh sb="0" eb="2">
      <t>ショカイ</t>
    </rPh>
    <rPh sb="2" eb="4">
      <t>セイゾウ</t>
    </rPh>
    <rPh sb="4" eb="5">
      <t>ツキ</t>
    </rPh>
    <phoneticPr fontId="1"/>
  </si>
  <si>
    <t>111F</t>
    <phoneticPr fontId="1"/>
  </si>
  <si>
    <t>3220F</t>
    <phoneticPr fontId="1"/>
  </si>
  <si>
    <t>JanJul</t>
  </si>
  <si>
    <t>FebAug</t>
  </si>
  <si>
    <t>MarSep</t>
  </si>
  <si>
    <t>AprOct</t>
  </si>
  <si>
    <t>MayNov</t>
  </si>
  <si>
    <t>JunDec</t>
  </si>
  <si>
    <t>製造状況</t>
    <rPh sb="0" eb="2">
      <t>セイゾウ</t>
    </rPh>
    <rPh sb="2" eb="4">
      <t>ジョウキョウ</t>
    </rPh>
    <phoneticPr fontId="1"/>
  </si>
  <si>
    <t>Active</t>
  </si>
  <si>
    <t>Active</t>
    <phoneticPr fontId="1"/>
  </si>
  <si>
    <t>Inactive</t>
  </si>
  <si>
    <t>スケジュール</t>
    <phoneticPr fontId="1"/>
  </si>
  <si>
    <t>No.</t>
    <phoneticPr fontId="1"/>
  </si>
  <si>
    <t>依頼予定日</t>
    <rPh sb="0" eb="2">
      <t>イライ</t>
    </rPh>
    <rPh sb="2" eb="4">
      <t>ヨテイ</t>
    </rPh>
    <rPh sb="4" eb="5">
      <t>ビ</t>
    </rPh>
    <phoneticPr fontId="1"/>
  </si>
  <si>
    <t>個数</t>
    <rPh sb="0" eb="2">
      <t>コスウ</t>
    </rPh>
    <phoneticPr fontId="1"/>
  </si>
  <si>
    <t>試験ID(C)</t>
  </si>
  <si>
    <t>試料No.</t>
  </si>
  <si>
    <t>品番(D)</t>
  </si>
  <si>
    <t>試験位置(E)</t>
  </si>
  <si>
    <t>検査日(F)</t>
  </si>
  <si>
    <t>温度(G)</t>
  </si>
  <si>
    <t>衝撃値(H)</t>
  </si>
  <si>
    <t>前処理(L)</t>
  </si>
  <si>
    <t>重量(M)</t>
  </si>
  <si>
    <t>天頂すきま(N)</t>
  </si>
  <si>
    <t>帽体色(O)</t>
  </si>
  <si>
    <t>製造ロット(P)</t>
  </si>
  <si>
    <t>帽体ロット(Q)</t>
  </si>
  <si>
    <t>内装ロット(R)</t>
  </si>
  <si>
    <t>構造/結果(S)</t>
  </si>
  <si>
    <t>耐貫通/結果(U)</t>
  </si>
  <si>
    <t>天頂肉厚</t>
  </si>
  <si>
    <t>天頂すきま</t>
    <rPh sb="0" eb="2">
      <t>テンチョウ</t>
    </rPh>
    <phoneticPr fontId="1"/>
  </si>
  <si>
    <t>重量</t>
    <rPh sb="0" eb="2">
      <t>ジュウリョウ</t>
    </rPh>
    <phoneticPr fontId="1"/>
  </si>
  <si>
    <t>350F</t>
    <phoneticPr fontId="1"/>
  </si>
  <si>
    <t>340F</t>
    <phoneticPr fontId="1"/>
  </si>
  <si>
    <t>341F</t>
    <phoneticPr fontId="1"/>
  </si>
  <si>
    <t>前処理</t>
    <rPh sb="0" eb="3">
      <t>マエショリ</t>
    </rPh>
    <phoneticPr fontId="1"/>
  </si>
  <si>
    <t>試験内容(U)</t>
  </si>
  <si>
    <t>測定すきま</t>
  </si>
  <si>
    <t>様式番号</t>
    <rPh sb="0" eb="2">
      <t>ヨウシキ</t>
    </rPh>
    <rPh sb="2" eb="4">
      <t>バンゴウ</t>
    </rPh>
    <phoneticPr fontId="7"/>
  </si>
  <si>
    <t>製造依頼書</t>
    <rPh sb="0" eb="2">
      <t>セイゾウ</t>
    </rPh>
    <rPh sb="2" eb="5">
      <t>イライショ</t>
    </rPh>
    <phoneticPr fontId="7"/>
  </si>
  <si>
    <t>依頼日</t>
    <rPh sb="0" eb="3">
      <t>イライビ</t>
    </rPh>
    <phoneticPr fontId="7"/>
  </si>
  <si>
    <t>　1. 依頼目的</t>
    <rPh sb="4" eb="6">
      <t>イライ</t>
    </rPh>
    <rPh sb="6" eb="8">
      <t>モクテキ</t>
    </rPh>
    <phoneticPr fontId="7"/>
  </si>
  <si>
    <t>　2. 品番・品名</t>
    <rPh sb="4" eb="6">
      <t>ヒンバン</t>
    </rPh>
    <rPh sb="7" eb="9">
      <t>ヒンメイ</t>
    </rPh>
    <phoneticPr fontId="7"/>
  </si>
  <si>
    <t>　3. 数量</t>
    <rPh sb="4" eb="6">
      <t>スウリョウ</t>
    </rPh>
    <phoneticPr fontId="7"/>
  </si>
  <si>
    <t>　4. 納期</t>
    <rPh sb="4" eb="6">
      <t>ノウキ</t>
    </rPh>
    <phoneticPr fontId="7"/>
  </si>
  <si>
    <t>　5. 作業完了の連絡先</t>
    <rPh sb="4" eb="6">
      <t>サギョウ</t>
    </rPh>
    <rPh sb="6" eb="8">
      <t>カンリョウ</t>
    </rPh>
    <rPh sb="9" eb="11">
      <t>レンラク</t>
    </rPh>
    <rPh sb="11" eb="12">
      <t>サキ</t>
    </rPh>
    <phoneticPr fontId="7"/>
  </si>
  <si>
    <t>　6. その他連絡事項</t>
    <rPh sb="6" eb="7">
      <t>タ</t>
    </rPh>
    <rPh sb="7" eb="9">
      <t>レンラク</t>
    </rPh>
    <rPh sb="9" eb="11">
      <t>ジコウ</t>
    </rPh>
    <phoneticPr fontId="7"/>
  </si>
  <si>
    <t>製造担当者</t>
    <rPh sb="0" eb="2">
      <t>セイゾウ</t>
    </rPh>
    <rPh sb="2" eb="5">
      <t>タントウシャ</t>
    </rPh>
    <phoneticPr fontId="7"/>
  </si>
  <si>
    <t>生産管理部門</t>
    <rPh sb="0" eb="2">
      <t>セイサン</t>
    </rPh>
    <rPh sb="2" eb="4">
      <t>カンリ</t>
    </rPh>
    <rPh sb="4" eb="6">
      <t>ブモン</t>
    </rPh>
    <phoneticPr fontId="7"/>
  </si>
  <si>
    <t>製造部門長</t>
    <rPh sb="0" eb="2">
      <t>セイゾウ</t>
    </rPh>
    <rPh sb="2" eb="4">
      <t>ブモン</t>
    </rPh>
    <rPh sb="4" eb="5">
      <t>チョウ</t>
    </rPh>
    <phoneticPr fontId="7"/>
  </si>
  <si>
    <t>品管部門長</t>
    <rPh sb="0" eb="2">
      <t>ヒンカン</t>
    </rPh>
    <rPh sb="2" eb="4">
      <t>ブモン</t>
    </rPh>
    <rPh sb="4" eb="5">
      <t>チョウ</t>
    </rPh>
    <phoneticPr fontId="7"/>
  </si>
  <si>
    <t>依頼部門長</t>
    <rPh sb="0" eb="2">
      <t>イライ</t>
    </rPh>
    <rPh sb="2" eb="4">
      <t>ブモン</t>
    </rPh>
    <phoneticPr fontId="7"/>
  </si>
  <si>
    <t>依頼者</t>
    <rPh sb="0" eb="2">
      <t>イライ</t>
    </rPh>
    <phoneticPr fontId="7"/>
  </si>
  <si>
    <t>各4個ずつ</t>
    <rPh sb="0" eb="1">
      <t>カク</t>
    </rPh>
    <rPh sb="2" eb="3">
      <t>コ</t>
    </rPh>
    <phoneticPr fontId="1"/>
  </si>
  <si>
    <t>品質管理部品質管理課山中まで。</t>
    <rPh sb="0" eb="4">
      <t>ヒンシツカンリ</t>
    </rPh>
    <rPh sb="4" eb="5">
      <t>ブ</t>
    </rPh>
    <rPh sb="5" eb="10">
      <t>ヒn</t>
    </rPh>
    <rPh sb="10" eb="12">
      <t>ヤマナカ</t>
    </rPh>
    <phoneticPr fontId="1"/>
  </si>
  <si>
    <t>製造ロットを記す用紙を各班に配布しますので、ご記入をお願いします。</t>
    <rPh sb="0" eb="2">
      <t>セイゾウ</t>
    </rPh>
    <rPh sb="6" eb="7">
      <t>シル</t>
    </rPh>
    <rPh sb="8" eb="10">
      <t>ヨウシ</t>
    </rPh>
    <rPh sb="11" eb="12">
      <t>カク</t>
    </rPh>
    <rPh sb="12" eb="13">
      <t>ハン</t>
    </rPh>
    <rPh sb="14" eb="16">
      <t>ハイフ</t>
    </rPh>
    <rPh sb="23" eb="25">
      <t>キニュウ</t>
    </rPh>
    <rPh sb="27" eb="28">
      <t>ネガ</t>
    </rPh>
    <phoneticPr fontId="1"/>
  </si>
  <si>
    <t>半年に1度行う定期検査用の試料を製造してほしい。</t>
    <rPh sb="0" eb="2">
      <t>ハントシ</t>
    </rPh>
    <rPh sb="4" eb="5">
      <t>ド</t>
    </rPh>
    <rPh sb="5" eb="6">
      <t>オコナ</t>
    </rPh>
    <rPh sb="7" eb="11">
      <t>テイキケンサ</t>
    </rPh>
    <rPh sb="11" eb="12">
      <t>ヨウ</t>
    </rPh>
    <rPh sb="13" eb="15">
      <t>シリョウ</t>
    </rPh>
    <rPh sb="16" eb="18">
      <t>セイゾウ</t>
    </rPh>
    <phoneticPr fontId="1"/>
  </si>
  <si>
    <t>217F</t>
  </si>
  <si>
    <t>260F</t>
  </si>
  <si>
    <t>白</t>
  </si>
  <si>
    <t>プロシージャの場所</t>
  </si>
  <si>
    <t>項目名</t>
  </si>
  <si>
    <t>帽体No.</t>
  </si>
  <si>
    <t>設定天頂すきま</t>
  </si>
  <si>
    <t>墜落時保護用</t>
  </si>
  <si>
    <t>帽体カラーリスト</t>
  </si>
  <si>
    <t>帽体品番リスト</t>
  </si>
  <si>
    <t>前処理リスト</t>
  </si>
  <si>
    <t>墜落制止用器具品番リスト</t>
  </si>
  <si>
    <t>ハーネス品番リスト</t>
  </si>
  <si>
    <t>野球帽品番リスト</t>
  </si>
  <si>
    <t>自転車帽品番リスト</t>
  </si>
  <si>
    <t>ID</t>
  </si>
  <si>
    <t>ColourList_White</t>
  </si>
  <si>
    <t>高温</t>
  </si>
  <si>
    <t>500-S</t>
  </si>
  <si>
    <t>検査日</t>
  </si>
  <si>
    <t>ColourList_391</t>
  </si>
  <si>
    <t>低温</t>
  </si>
  <si>
    <t>500-M</t>
  </si>
  <si>
    <t>品番</t>
  </si>
  <si>
    <t>x</t>
  </si>
  <si>
    <t>うす黃</t>
  </si>
  <si>
    <t>浸漬</t>
  </si>
  <si>
    <t>500-L</t>
  </si>
  <si>
    <t>色</t>
  </si>
  <si>
    <t>ロイヤルブルー</t>
  </si>
  <si>
    <t>520-S</t>
  </si>
  <si>
    <t>ロットNo.</t>
  </si>
  <si>
    <t>110F</t>
  </si>
  <si>
    <t>紺</t>
  </si>
  <si>
    <t>520-M</t>
  </si>
  <si>
    <t>試験内容</t>
  </si>
  <si>
    <t>110S</t>
  </si>
  <si>
    <t>ColourList_390</t>
  </si>
  <si>
    <t>520-L</t>
  </si>
  <si>
    <t>帽体ロット</t>
  </si>
  <si>
    <t>530-S</t>
  </si>
  <si>
    <t>内装ロット</t>
  </si>
  <si>
    <t>530-M</t>
  </si>
  <si>
    <t>温度</t>
  </si>
  <si>
    <t>140F</t>
  </si>
  <si>
    <t>赤</t>
  </si>
  <si>
    <t>530-L</t>
  </si>
  <si>
    <t>構造_検査結果</t>
  </si>
  <si>
    <t>ピンク</t>
  </si>
  <si>
    <t>耐貫通_検査結果</t>
  </si>
  <si>
    <t>171F</t>
  </si>
  <si>
    <t>ライム</t>
  </si>
  <si>
    <t>前処理</t>
  </si>
  <si>
    <t>170SF</t>
  </si>
  <si>
    <t>紫</t>
  </si>
  <si>
    <t>重量</t>
  </si>
  <si>
    <t>170LF</t>
  </si>
  <si>
    <t>ColourList_396</t>
  </si>
  <si>
    <t>天頂すきま</t>
  </si>
  <si>
    <t>215F</t>
  </si>
  <si>
    <t>結果_天頂</t>
  </si>
  <si>
    <t>結果_前頭部</t>
  </si>
  <si>
    <t>継続時間_7.3</t>
  </si>
  <si>
    <t>ColourList_393</t>
  </si>
  <si>
    <t>HelmetCreate</t>
  </si>
  <si>
    <t>継続時間_4.9</t>
  </si>
  <si>
    <t>219F</t>
  </si>
  <si>
    <t>結果_後頭部</t>
  </si>
  <si>
    <t>白ピンク</t>
  </si>
  <si>
    <t>280F</t>
  </si>
  <si>
    <t>白ライム</t>
  </si>
  <si>
    <t>LOG_Decorate</t>
  </si>
  <si>
    <t>ColourList_370</t>
  </si>
  <si>
    <t>300F</t>
  </si>
  <si>
    <t>310F</t>
  </si>
  <si>
    <t>ColourList_380</t>
  </si>
  <si>
    <t>360F</t>
  </si>
  <si>
    <t>Main</t>
  </si>
  <si>
    <t>370F</t>
  </si>
  <si>
    <t>ColourList_360</t>
  </si>
  <si>
    <t>クリーム</t>
  </si>
  <si>
    <t>380F</t>
  </si>
  <si>
    <t>緑</t>
  </si>
  <si>
    <t>375F</t>
  </si>
  <si>
    <t>385F</t>
  </si>
  <si>
    <t>390F</t>
  </si>
  <si>
    <t>水色</t>
  </si>
  <si>
    <t>391F</t>
  </si>
  <si>
    <t>ColourList_375</t>
  </si>
  <si>
    <t>392F</t>
  </si>
  <si>
    <t>SpecSheet</t>
  </si>
  <si>
    <t>393F</t>
  </si>
  <si>
    <t>395F</t>
  </si>
  <si>
    <t>ColourList_170</t>
  </si>
  <si>
    <t>396F</t>
  </si>
  <si>
    <t>黃</t>
  </si>
  <si>
    <t>396FEM</t>
  </si>
  <si>
    <t>397F</t>
  </si>
  <si>
    <t>397FSH</t>
  </si>
  <si>
    <t>398F</t>
  </si>
  <si>
    <t>3220F</t>
  </si>
  <si>
    <t>オレンジ</t>
  </si>
  <si>
    <t>｀</t>
  </si>
  <si>
    <t>350F</t>
  </si>
  <si>
    <t>340F</t>
  </si>
  <si>
    <t>341F</t>
  </si>
  <si>
    <t>ColourList_LF170</t>
  </si>
  <si>
    <t>ColourList_300</t>
  </si>
  <si>
    <t>ダークグリーン</t>
  </si>
  <si>
    <t>ブラック</t>
  </si>
  <si>
    <t>ColourList_110</t>
  </si>
  <si>
    <t>ColourList_S110</t>
  </si>
  <si>
    <t>ColourList_140</t>
  </si>
  <si>
    <t>ColourList_100</t>
  </si>
  <si>
    <t>ホワイト</t>
  </si>
  <si>
    <t>グレー</t>
  </si>
  <si>
    <t>ColourList_105</t>
  </si>
  <si>
    <t>試験位置</t>
    <rPh sb="0" eb="2">
      <t>シケン</t>
    </rPh>
    <rPh sb="2" eb="4">
      <t>イチ</t>
    </rPh>
    <phoneticPr fontId="1"/>
  </si>
  <si>
    <t>HelmetCollectionシートから該当する帽体番号をコピーし、
ProgressTableシートの"資料名"列にコピーする。</t>
    <rPh sb="21" eb="23">
      <t>ガイトウ</t>
    </rPh>
    <rPh sb="25" eb="27">
      <t>ボウタイ</t>
    </rPh>
    <rPh sb="27" eb="29">
      <t>バンゴウ</t>
    </rPh>
    <rPh sb="54" eb="57">
      <t>シリョウメイ</t>
    </rPh>
    <rPh sb="58" eb="59">
      <t>レツ</t>
    </rPh>
    <phoneticPr fontId="1"/>
  </si>
  <si>
    <t>MakehelSpecSheet</t>
    <phoneticPr fontId="1"/>
  </si>
  <si>
    <t>TransferProgressToHelmetSpec()</t>
    <phoneticPr fontId="1"/>
  </si>
  <si>
    <t>ReplaceMonthInText()</t>
    <phoneticPr fontId="1"/>
  </si>
  <si>
    <t>RightClickAction</t>
    <phoneticPr fontId="1"/>
  </si>
  <si>
    <t>Public Sub CustomizeRightClickMenu()</t>
    <phoneticPr fontId="1"/>
  </si>
  <si>
    <t>Public Sub RemoveRightClickMenu()</t>
  </si>
  <si>
    <t>TransferToSheet</t>
    <phoneticPr fontId="1"/>
  </si>
  <si>
    <t>GenerateRequestForProductionLeaders()</t>
    <phoneticPr fontId="1"/>
  </si>
  <si>
    <t>[ProductMonth]中の製造ロットの貼付が必要です。お忙しい中恐縮ですが、[ProductMonth]第2週までに生産していただけると助かります。</t>
    <phoneticPr fontId="1"/>
  </si>
  <si>
    <t>右クリック → CusomMenuから"製造依頼シート作成" で製造部に依頼するシートを作成する。</t>
    <rPh sb="0" eb="1">
      <t>ミギ</t>
    </rPh>
    <rPh sb="20" eb="22">
      <t>セイゾウ</t>
    </rPh>
    <rPh sb="22" eb="24">
      <t>イライ</t>
    </rPh>
    <rPh sb="27" eb="29">
      <t>サクセイ</t>
    </rPh>
    <rPh sb="32" eb="35">
      <t>セイゾウブ</t>
    </rPh>
    <rPh sb="36" eb="38">
      <t>イライ</t>
    </rPh>
    <rPh sb="44" eb="46">
      <t>サクセイ</t>
    </rPh>
    <phoneticPr fontId="1"/>
  </si>
  <si>
    <t xml:space="preserve">同じく右クリックメニューから"製造依頼シートを整える"で形式を整え、右クリックメニューから印刷する。 </t>
    <rPh sb="0" eb="1">
      <t>オナ</t>
    </rPh>
    <rPh sb="3" eb="4">
      <t>ミギ</t>
    </rPh>
    <rPh sb="23" eb="24">
      <t>トトノ</t>
    </rPh>
    <rPh sb="28" eb="30">
      <t>ケイシキ</t>
    </rPh>
    <rPh sb="31" eb="32">
      <t>トトノ</t>
    </rPh>
    <rPh sb="34" eb="39">
      <t>ミギ</t>
    </rPh>
    <rPh sb="45" eb="47">
      <t>インサツ</t>
    </rPh>
    <phoneticPr fontId="1"/>
  </si>
  <si>
    <t>組み立て班から依頼した製品とスペック表を受け取り、ProgressTableシートに記入する。</t>
    <rPh sb="0" eb="1">
      <t>ク</t>
    </rPh>
    <rPh sb="2" eb="3">
      <t>タ</t>
    </rPh>
    <rPh sb="4" eb="5">
      <t>ハン</t>
    </rPh>
    <rPh sb="7" eb="9">
      <t>イライ</t>
    </rPh>
    <rPh sb="11" eb="13">
      <t>セイヒン</t>
    </rPh>
    <rPh sb="18" eb="19">
      <t>ヒョウ</t>
    </rPh>
    <rPh sb="20" eb="21">
      <t>ウ</t>
    </rPh>
    <rPh sb="22" eb="23">
      <t>ト</t>
    </rPh>
    <rPh sb="42" eb="44">
      <t>キニュウ</t>
    </rPh>
    <phoneticPr fontId="1"/>
  </si>
  <si>
    <t xml:space="preserve">上記を記入した後に右クリック → CusomMenuから"SpecSheetに転記"でSpecSheetを完成させる。 </t>
    <rPh sb="0" eb="2">
      <t>ジョウキ</t>
    </rPh>
    <rPh sb="3" eb="5">
      <t>キニュウ</t>
    </rPh>
    <rPh sb="7" eb="8">
      <t>アト</t>
    </rPh>
    <rPh sb="9" eb="10">
      <t>ミギ</t>
    </rPh>
    <rPh sb="39" eb="41">
      <t>テンキ</t>
    </rPh>
    <rPh sb="53" eb="55">
      <t>カンセイ</t>
    </rPh>
    <phoneticPr fontId="1"/>
  </si>
  <si>
    <t>そのSpecSheetを用いて検査を行う。</t>
    <rPh sb="12" eb="13">
      <t>モチ</t>
    </rPh>
    <rPh sb="15" eb="17">
      <t>ケンサ</t>
    </rPh>
    <rPh sb="18" eb="19">
      <t>オコナ</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</si>
</sst>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_ "/>
  </numFmts>
  <fonts count="17">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0"/>
      <color theme="1"/>
      <name val="Arial Unicode MS"/>
      <family val="2"/>
    </font>
    <font>
      <b/>
      <sz val="11"/>
      <color theme="0" tint="-4.9989318521683403E-2"/>
      <name val="游ゴシック"/>
      <family val="3"/>
      <charset val="128"/>
      <scheme val="minor"/>
    </font>
    <font>
      <sz val="10"/>
      <color theme="1"/>
      <name val="游ゴシック"/>
      <family val="2"/>
      <charset val="128"/>
      <scheme val="minor"/>
    </font>
    <font>
      <sz val="11"/>
      <color theme="1"/>
      <name val="游ゴシック"/>
      <family val="2"/>
      <scheme val="minor"/>
    </font>
    <font>
      <sz val="6"/>
      <name val="游ゴシック"/>
      <family val="3"/>
      <charset val="128"/>
      <scheme val="minor"/>
    </font>
    <font>
      <sz val="11"/>
      <color theme="1"/>
      <name val="ヒラギノ角ゴ Pro W3"/>
      <family val="2"/>
      <charset val="128"/>
    </font>
    <font>
      <sz val="12"/>
      <color theme="1"/>
      <name val="ヒラギノ角ゴ Pro W3"/>
      <family val="2"/>
      <charset val="128"/>
    </font>
    <font>
      <b/>
      <sz val="24"/>
      <color theme="1"/>
      <name val="ヒラギノ角ゴ Pro W3"/>
      <family val="2"/>
      <charset val="128"/>
    </font>
    <font>
      <b/>
      <sz val="12"/>
      <color theme="1"/>
      <name val="ヒラギノ角ゴ Pro W3"/>
      <family val="2"/>
      <charset val="128"/>
    </font>
    <font>
      <b/>
      <sz val="11"/>
      <color theme="1"/>
      <name val="ヒラギノ角ゴ Pro W3"/>
      <family val="2"/>
      <charset val="128"/>
    </font>
    <font>
      <sz val="10"/>
      <color theme="1"/>
      <name val="ヒラギノ角ゴ Pro W3"/>
      <family val="2"/>
      <charset val="128"/>
    </font>
    <font>
      <b/>
      <sz val="11"/>
      <color rgb="FFFFE800"/>
      <name val="游ゴシック"/>
      <family val="3"/>
      <charset val="128"/>
      <scheme val="minor"/>
    </font>
    <font>
      <b/>
      <sz val="11"/>
      <color rgb="FFFFE800"/>
      <name val="ヒラギノ角ゴ Pro W3"/>
      <family val="2"/>
      <charset val="128"/>
    </font>
    <font>
      <b/>
      <sz val="11"/>
      <color theme="0"/>
      <name val="游ゴシック"/>
      <family val="3"/>
      <charset val="128"/>
      <scheme val="minor"/>
    </font>
  </fonts>
  <fills count="5">
    <fill>
      <patternFill patternType="none"/>
    </fill>
    <fill>
      <patternFill patternType="gray125"/>
    </fill>
    <fill>
      <patternFill patternType="solid">
        <fgColor theme="4" tint="-0.249977111117893"/>
        <bgColor indexed="64"/>
      </patternFill>
    </fill>
    <fill>
      <patternFill patternType="solid">
        <fgColor rgb="FFB2BFC3"/>
        <bgColor indexed="64"/>
      </patternFill>
    </fill>
    <fill>
      <patternFill patternType="solid">
        <fgColor theme="0" tint="-0.14999847407452621"/>
        <bgColor indexed="64"/>
      </patternFill>
    </fill>
  </fills>
  <borders count="37">
    <border>
      <left/>
      <right/>
      <top/>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thin">
        <color indexed="64"/>
      </left>
      <right style="thin">
        <color indexed="64"/>
      </right>
      <top style="thin">
        <color indexed="64"/>
      </top>
      <bottom style="thin">
        <color indexed="64"/>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style="hair">
        <color auto="1"/>
      </right>
      <top/>
      <bottom/>
      <diagonal/>
    </border>
    <border>
      <left style="hair">
        <color indexed="64"/>
      </left>
      <right style="hair">
        <color indexed="64"/>
      </right>
      <top style="hair">
        <color indexed="64"/>
      </top>
      <bottom/>
      <diagonal/>
    </border>
  </borders>
  <cellStyleXfs count="2">
    <xf numFmtId="0" fontId="0" fillId="0" borderId="0">
      <alignment vertical="center"/>
    </xf>
    <xf numFmtId="0" fontId="6" fillId="0" borderId="0"/>
  </cellStyleXfs>
  <cellXfs count="73">
    <xf numFmtId="0" fontId="0" fillId="0" borderId="0" xfId="0">
      <alignment vertical="center"/>
    </xf>
    <xf numFmtId="0" fontId="0" fillId="0" borderId="0" xfId="0" applyAlignment="1">
      <alignment horizontal="center" vertical="center"/>
    </xf>
    <xf numFmtId="0" fontId="2" fillId="0" borderId="0" xfId="0" applyFont="1">
      <alignment vertical="center"/>
    </xf>
    <xf numFmtId="0" fontId="3" fillId="0" borderId="0" xfId="0" applyFont="1">
      <alignment vertical="center"/>
    </xf>
    <xf numFmtId="0" fontId="4" fillId="2" borderId="0" xfId="0" applyFont="1" applyFill="1" applyAlignment="1">
      <alignment horizontal="center" vertical="center"/>
    </xf>
    <xf numFmtId="0" fontId="0" fillId="0" borderId="2" xfId="0" applyBorder="1">
      <alignment vertical="center"/>
    </xf>
    <xf numFmtId="14" fontId="0" fillId="0" borderId="2" xfId="0" applyNumberFormat="1" applyBorder="1">
      <alignment vertical="center"/>
    </xf>
    <xf numFmtId="0" fontId="0" fillId="0" borderId="1" xfId="0" applyBorder="1">
      <alignment vertical="center"/>
    </xf>
    <xf numFmtId="14" fontId="0" fillId="0" borderId="1" xfId="0" applyNumberFormat="1" applyBorder="1">
      <alignment vertical="center"/>
    </xf>
    <xf numFmtId="0" fontId="8" fillId="0" borderId="0" xfId="0" applyFont="1">
      <alignment vertical="center"/>
    </xf>
    <xf numFmtId="0" fontId="8" fillId="0" borderId="0" xfId="0" applyFont="1" applyAlignment="1">
      <alignment horizontal="left" vertical="center"/>
    </xf>
    <xf numFmtId="0" fontId="8" fillId="0" borderId="0" xfId="1" applyFont="1"/>
    <xf numFmtId="0" fontId="11" fillId="0" borderId="20" xfId="1" applyFont="1" applyBorder="1"/>
    <xf numFmtId="0" fontId="8" fillId="0" borderId="20" xfId="1" applyFont="1" applyBorder="1"/>
    <xf numFmtId="0" fontId="8" fillId="0" borderId="22" xfId="1" applyFont="1" applyBorder="1"/>
    <xf numFmtId="0" fontId="14" fillId="3" borderId="0" xfId="0" applyFont="1" applyFill="1" applyAlignment="1">
      <alignment horizontal="center" vertical="center"/>
    </xf>
    <xf numFmtId="0" fontId="15" fillId="3" borderId="0" xfId="0" applyFont="1" applyFill="1" applyAlignment="1">
      <alignment horizontal="center" vertical="center"/>
    </xf>
    <xf numFmtId="14" fontId="0" fillId="0" borderId="2" xfId="0" applyNumberFormat="1" applyBorder="1" applyAlignment="1">
      <alignment horizontal="center" vertical="center"/>
    </xf>
    <xf numFmtId="0" fontId="5" fillId="0" borderId="2" xfId="0" applyFont="1" applyBorder="1" applyAlignment="1">
      <alignment horizontal="center" vertical="center"/>
    </xf>
    <xf numFmtId="14" fontId="0" fillId="0" borderId="1" xfId="0" applyNumberFormat="1" applyBorder="1" applyAlignment="1">
      <alignment horizontal="center" vertical="center"/>
    </xf>
    <xf numFmtId="14" fontId="0" fillId="0" borderId="0" xfId="0" applyNumberFormat="1" applyAlignment="1">
      <alignment horizontal="center" vertical="center"/>
    </xf>
    <xf numFmtId="14" fontId="0" fillId="0" borderId="0" xfId="0" applyNumberFormat="1">
      <alignment vertical="center"/>
    </xf>
    <xf numFmtId="0" fontId="16" fillId="2" borderId="0" xfId="0" applyFont="1" applyFill="1">
      <alignment vertical="center"/>
    </xf>
    <xf numFmtId="49" fontId="16" fillId="2" borderId="0" xfId="0" applyNumberFormat="1" applyFont="1" applyFill="1">
      <alignment vertical="center"/>
    </xf>
    <xf numFmtId="0" fontId="0" fillId="0" borderId="0" xfId="0" applyAlignment="1"/>
    <xf numFmtId="49" fontId="0" fillId="0" borderId="0" xfId="0" applyNumberFormat="1" applyAlignment="1">
      <alignment horizontal="center" vertical="center"/>
    </xf>
    <xf numFmtId="176" fontId="0" fillId="0" borderId="0" xfId="0" applyNumberFormat="1" applyAlignment="1">
      <alignment horizontal="center" vertical="center"/>
    </xf>
    <xf numFmtId="11" fontId="0" fillId="0" borderId="0" xfId="0" applyNumberFormat="1">
      <alignment vertical="center"/>
    </xf>
    <xf numFmtId="0" fontId="0" fillId="2" borderId="0" xfId="0" applyFill="1">
      <alignment vertical="center"/>
    </xf>
    <xf numFmtId="0" fontId="11" fillId="4" borderId="20" xfId="1" applyFont="1" applyFill="1" applyBorder="1"/>
    <xf numFmtId="0" fontId="8" fillId="4" borderId="0" xfId="1" applyFont="1" applyFill="1"/>
    <xf numFmtId="0" fontId="8" fillId="4" borderId="21" xfId="1" applyFont="1" applyFill="1" applyBorder="1"/>
    <xf numFmtId="0" fontId="12" fillId="4" borderId="0" xfId="1" applyFont="1" applyFill="1"/>
    <xf numFmtId="0" fontId="5" fillId="0" borderId="0" xfId="0" applyFont="1" applyAlignment="1">
      <alignment horizontal="center" vertical="center"/>
    </xf>
    <xf numFmtId="14" fontId="0" fillId="0" borderId="35" xfId="0" applyNumberFormat="1" applyBorder="1">
      <alignment vertical="center"/>
    </xf>
    <xf numFmtId="14" fontId="0" fillId="0" borderId="36" xfId="0" applyNumberFormat="1" applyBorder="1" applyAlignment="1">
      <alignment horizontal="center" vertical="center"/>
    </xf>
    <xf numFmtId="0" fontId="5" fillId="0" borderId="35" xfId="0" applyFont="1" applyBorder="1" applyAlignment="1">
      <alignment horizontal="center" vertical="center"/>
    </xf>
    <xf numFmtId="0" fontId="0" fillId="0" borderId="0" xfId="0" applyAlignment="1">
      <alignment vertical="center" wrapText="1"/>
    </xf>
    <xf numFmtId="0" fontId="13" fillId="0" borderId="3" xfId="1" applyFont="1" applyBorder="1" applyAlignment="1">
      <alignment horizontal="center"/>
    </xf>
    <xf numFmtId="0" fontId="8" fillId="0" borderId="3" xfId="1" applyFont="1" applyBorder="1" applyAlignment="1">
      <alignment horizontal="center"/>
    </xf>
    <xf numFmtId="0" fontId="8" fillId="0" borderId="27" xfId="1" applyFont="1" applyBorder="1" applyAlignment="1">
      <alignment horizontal="center"/>
    </xf>
    <xf numFmtId="0" fontId="8" fillId="0" borderId="28" xfId="1" applyFont="1" applyBorder="1" applyAlignment="1">
      <alignment horizontal="center"/>
    </xf>
    <xf numFmtId="0" fontId="8" fillId="0" borderId="29" xfId="1" applyFont="1" applyBorder="1" applyAlignment="1">
      <alignment horizontal="center"/>
    </xf>
    <xf numFmtId="0" fontId="8" fillId="0" borderId="30" xfId="1" applyFont="1" applyBorder="1" applyAlignment="1">
      <alignment horizontal="center"/>
    </xf>
    <xf numFmtId="0" fontId="8" fillId="0" borderId="0" xfId="1" applyFont="1" applyAlignment="1">
      <alignment horizontal="center"/>
    </xf>
    <xf numFmtId="0" fontId="8" fillId="0" borderId="31" xfId="1" applyFont="1" applyBorder="1" applyAlignment="1">
      <alignment horizontal="center"/>
    </xf>
    <xf numFmtId="0" fontId="8" fillId="0" borderId="32" xfId="1" applyFont="1" applyBorder="1" applyAlignment="1">
      <alignment horizontal="center"/>
    </xf>
    <xf numFmtId="0" fontId="8" fillId="0" borderId="33" xfId="1" applyFont="1" applyBorder="1" applyAlignment="1">
      <alignment horizontal="center"/>
    </xf>
    <xf numFmtId="0" fontId="8" fillId="0" borderId="34" xfId="1" applyFont="1" applyBorder="1" applyAlignment="1">
      <alignment horizontal="center"/>
    </xf>
    <xf numFmtId="0" fontId="13" fillId="0" borderId="24" xfId="1" applyFont="1" applyBorder="1" applyAlignment="1">
      <alignment horizontal="center"/>
    </xf>
    <xf numFmtId="0" fontId="13" fillId="0" borderId="25" xfId="1" applyFont="1" applyBorder="1" applyAlignment="1">
      <alignment horizontal="center"/>
    </xf>
    <xf numFmtId="0" fontId="13" fillId="0" borderId="26" xfId="1" applyFont="1" applyBorder="1" applyAlignment="1">
      <alignment horizontal="center"/>
    </xf>
    <xf numFmtId="0" fontId="8" fillId="0" borderId="0" xfId="1" applyFont="1" applyAlignment="1">
      <alignment horizontal="left" vertical="top" wrapText="1"/>
    </xf>
    <xf numFmtId="0" fontId="8" fillId="0" borderId="0" xfId="1" applyFont="1" applyAlignment="1">
      <alignment horizontal="left" vertical="top"/>
    </xf>
    <xf numFmtId="0" fontId="8" fillId="0" borderId="21" xfId="1" applyFont="1" applyBorder="1" applyAlignment="1">
      <alignment horizontal="left" vertical="top"/>
    </xf>
    <xf numFmtId="0" fontId="8" fillId="0" borderId="16" xfId="1" applyFont="1" applyBorder="1" applyAlignment="1">
      <alignment horizontal="left" vertical="top"/>
    </xf>
    <xf numFmtId="0" fontId="8" fillId="0" borderId="23" xfId="1" applyFont="1" applyBorder="1" applyAlignment="1">
      <alignment horizontal="left" vertical="top"/>
    </xf>
    <xf numFmtId="0" fontId="9" fillId="0" borderId="4" xfId="1" applyFont="1" applyBorder="1" applyAlignment="1">
      <alignment horizontal="center"/>
    </xf>
    <xf numFmtId="0" fontId="9" fillId="0" borderId="5" xfId="1" applyFont="1" applyBorder="1" applyAlignment="1">
      <alignment horizontal="center"/>
    </xf>
    <xf numFmtId="0" fontId="9" fillId="0" borderId="6" xfId="1" applyFont="1" applyBorder="1" applyAlignment="1">
      <alignment horizontal="center"/>
    </xf>
    <xf numFmtId="0" fontId="10" fillId="0" borderId="7" xfId="1" applyFont="1" applyBorder="1" applyAlignment="1">
      <alignment horizontal="center" vertical="center"/>
    </xf>
    <xf numFmtId="0" fontId="10" fillId="0" borderId="8" xfId="1" applyFont="1" applyBorder="1" applyAlignment="1">
      <alignment horizontal="center" vertical="center"/>
    </xf>
    <xf numFmtId="0" fontId="10" fillId="0" borderId="9" xfId="1" applyFont="1" applyBorder="1" applyAlignment="1">
      <alignment horizontal="center" vertical="center"/>
    </xf>
    <xf numFmtId="0" fontId="10" fillId="0" borderId="15" xfId="1" applyFont="1" applyBorder="1" applyAlignment="1">
      <alignment horizontal="center" vertical="center"/>
    </xf>
    <xf numFmtId="0" fontId="10" fillId="0" borderId="16" xfId="1" applyFont="1" applyBorder="1" applyAlignment="1">
      <alignment horizontal="center" vertical="center"/>
    </xf>
    <xf numFmtId="0" fontId="10" fillId="0" borderId="17" xfId="1" applyFont="1" applyBorder="1" applyAlignment="1">
      <alignment horizontal="center" vertical="center"/>
    </xf>
    <xf numFmtId="0" fontId="9" fillId="0" borderId="10" xfId="1" applyFont="1" applyBorder="1" applyAlignment="1">
      <alignment horizontal="center"/>
    </xf>
    <xf numFmtId="0" fontId="9" fillId="0" borderId="11" xfId="1" applyFont="1" applyBorder="1" applyAlignment="1">
      <alignment horizontal="center"/>
    </xf>
    <xf numFmtId="0" fontId="9" fillId="0" borderId="12" xfId="1" applyFont="1" applyBorder="1" applyAlignment="1">
      <alignment horizontal="center"/>
    </xf>
    <xf numFmtId="0" fontId="9" fillId="0" borderId="13" xfId="1" applyFont="1" applyBorder="1" applyAlignment="1">
      <alignment horizontal="center"/>
    </xf>
    <xf numFmtId="0" fontId="9" fillId="0" borderId="14" xfId="1" applyFont="1" applyBorder="1" applyAlignment="1">
      <alignment horizontal="center"/>
    </xf>
    <xf numFmtId="31" fontId="9" fillId="0" borderId="18" xfId="1" applyNumberFormat="1" applyFont="1" applyBorder="1" applyAlignment="1">
      <alignment horizontal="center"/>
    </xf>
    <xf numFmtId="0" fontId="9" fillId="0" borderId="19" xfId="1" applyFont="1" applyBorder="1" applyAlignment="1">
      <alignment horizontal="center"/>
    </xf>
  </cellXfs>
  <cellStyles count="2">
    <cellStyle name="標準" xfId="0" builtinId="0"/>
    <cellStyle name="標準 2" xfId="1" xr:uid="{7200B3BA-14FD-49DD-91C1-145378ED18C3}"/>
  </cellStyles>
  <dxfs count="0"/>
  <tableStyles count="0" defaultTableStyle="TableStyleMedium2" defaultPivotStyle="PivotStyleLight16"/>
  <colors>
    <mruColors>
      <color rgb="FFFFE800"/>
      <color rgb="FFB2BF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17</xdr:col>
      <xdr:colOff>57150</xdr:colOff>
      <xdr:row>41</xdr:row>
      <xdr:rowOff>57150</xdr:rowOff>
    </xdr:from>
    <xdr:to>
      <xdr:col>17</xdr:col>
      <xdr:colOff>219075</xdr:colOff>
      <xdr:row>42</xdr:row>
      <xdr:rowOff>180975</xdr:rowOff>
    </xdr:to>
    <xdr:sp macro="" textlink="">
      <xdr:nvSpPr>
        <xdr:cNvPr id="2" name="矢印: 左 1">
          <a:extLst>
            <a:ext uri="{FF2B5EF4-FFF2-40B4-BE49-F238E27FC236}">
              <a16:creationId xmlns:a16="http://schemas.microsoft.com/office/drawing/2014/main" id="{CDA41E26-58CB-45EF-A770-538500625CE8}"/>
            </a:ext>
          </a:extLst>
        </xdr:cNvPr>
        <xdr:cNvSpPr/>
      </xdr:nvSpPr>
      <xdr:spPr>
        <a:xfrm>
          <a:off x="4568190" y="9437370"/>
          <a:ext cx="161925" cy="352425"/>
        </a:xfrm>
        <a:prstGeom prst="leftArrow">
          <a:avLst/>
        </a:prstGeom>
        <a:solidFill>
          <a:schemeClr val="bg1">
            <a:lumMod val="8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21</xdr:col>
      <xdr:colOff>205740</xdr:colOff>
      <xdr:row>41</xdr:row>
      <xdr:rowOff>152400</xdr:rowOff>
    </xdr:from>
    <xdr:to>
      <xdr:col>23</xdr:col>
      <xdr:colOff>38100</xdr:colOff>
      <xdr:row>43</xdr:row>
      <xdr:rowOff>74930</xdr:rowOff>
    </xdr:to>
    <xdr:pic>
      <xdr:nvPicPr>
        <xdr:cNvPr id="3" name="図 2">
          <a:extLst>
            <a:ext uri="{FF2B5EF4-FFF2-40B4-BE49-F238E27FC236}">
              <a16:creationId xmlns:a16="http://schemas.microsoft.com/office/drawing/2014/main" id="{0A0785CA-FD73-49C0-A508-68E881A51038}"/>
            </a:ext>
          </a:extLst>
        </xdr:cNvPr>
        <xdr:cNvPicPr>
          <a:picLocks noChangeAspect="1"/>
        </xdr:cNvPicPr>
      </xdr:nvPicPr>
      <xdr:blipFill>
        <a:blip xmlns:r="http://schemas.openxmlformats.org/officeDocument/2006/relationships" r:embed="rId1"/>
        <a:stretch>
          <a:fillRect/>
        </a:stretch>
      </xdr:blipFill>
      <xdr:spPr>
        <a:xfrm>
          <a:off x="5814060" y="9532620"/>
          <a:ext cx="381000" cy="37973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山中　亮司" id="{7C4ED84E-5C2E-40CB-97DD-FAF57BEA60D3}" userId="S::4056@tshldgs.jp::f497b613-eb95-4f53-a2e1-253e3fe60266"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4-10-08T07:30:32.31" personId="{7C4ED84E-5C2E-40CB-97DD-FAF57BEA60D3}" id="{DBCABC67-714A-4A95-8E25-48D1A811E017}">
    <text>製造ロットなどを記入してから、マクロを起動してください。</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37201-CEB6-4340-96BC-1135AFCD3ADB}">
  <sheetPr codeName="Sheet9"/>
  <dimension ref="A1:P97"/>
  <sheetViews>
    <sheetView tabSelected="1" zoomScaleNormal="100" workbookViewId="0">
      <selection activeCell="C15" sqref="C15"/>
    </sheetView>
  </sheetViews>
  <sheetFormatPr defaultColWidth="8.69921875" defaultRowHeight="18" customHeight="1"/>
  <cols>
    <col min="1" max="1" width="6.69921875" style="28" customWidth="1"/>
    <col min="2" max="2" width="96.3984375" style="24" bestFit="1" customWidth="1"/>
    <col min="3" max="3" width="71" style="24" bestFit="1" customWidth="1"/>
    <col min="4" max="4" width="21.8984375" style="24" bestFit="1" customWidth="1"/>
    <col min="5" max="5" width="19.19921875" style="24" customWidth="1"/>
    <col min="6" max="6" width="14.19921875" style="24" bestFit="1" customWidth="1"/>
    <col min="10" max="10" width="16.5" style="24" bestFit="1" customWidth="1"/>
    <col min="11" max="11" width="14.19921875" style="24" bestFit="1" customWidth="1"/>
    <col min="12" max="12" width="12.19921875" style="24" bestFit="1" customWidth="1"/>
    <col min="13" max="13" width="24.09765625" style="24" customWidth="1"/>
    <col min="14" max="14" width="34.19921875" style="24" customWidth="1"/>
    <col min="15" max="15" width="19.19921875" style="24" customWidth="1"/>
    <col min="16" max="16" width="15.19921875" style="24" customWidth="1"/>
  </cols>
  <sheetData>
    <row r="1" spans="2:16" ht="19.95" customHeight="1">
      <c r="B1" s="22"/>
      <c r="C1" s="22"/>
      <c r="D1" s="22" t="s">
        <v>103</v>
      </c>
      <c r="E1" s="22"/>
      <c r="F1" s="22" t="s">
        <v>104</v>
      </c>
      <c r="G1" s="23" t="s">
        <v>105</v>
      </c>
      <c r="H1" s="22" t="s">
        <v>106</v>
      </c>
      <c r="I1" s="22" t="s">
        <v>107</v>
      </c>
      <c r="J1" s="22" t="s">
        <v>108</v>
      </c>
      <c r="K1" s="22" t="s">
        <v>109</v>
      </c>
      <c r="L1" s="22" t="s">
        <v>110</v>
      </c>
      <c r="M1" s="22" t="s">
        <v>111</v>
      </c>
      <c r="N1" s="22" t="s">
        <v>112</v>
      </c>
      <c r="O1" s="22" t="s">
        <v>113</v>
      </c>
      <c r="P1" s="22" t="s">
        <v>114</v>
      </c>
    </row>
    <row r="2" spans="2:16" ht="36">
      <c r="B2" s="37" t="s">
        <v>218</v>
      </c>
      <c r="C2" t="s">
        <v>220</v>
      </c>
      <c r="D2" t="s">
        <v>219</v>
      </c>
      <c r="F2" t="s">
        <v>115</v>
      </c>
      <c r="G2" s="25">
        <v>100</v>
      </c>
      <c r="H2" s="26">
        <v>0</v>
      </c>
      <c r="I2" s="1"/>
      <c r="J2" t="s">
        <v>116</v>
      </c>
      <c r="K2" t="s">
        <v>102</v>
      </c>
      <c r="L2" t="s">
        <v>117</v>
      </c>
      <c r="P2" t="s">
        <v>118</v>
      </c>
    </row>
    <row r="3" spans="2:16" ht="43.8" customHeight="1">
      <c r="B3" t="s">
        <v>228</v>
      </c>
      <c r="C3" t="s">
        <v>221</v>
      </c>
      <c r="D3" t="s">
        <v>225</v>
      </c>
      <c r="F3" t="s">
        <v>119</v>
      </c>
      <c r="G3" s="25">
        <v>101</v>
      </c>
      <c r="H3" s="26">
        <v>0</v>
      </c>
      <c r="I3" s="1"/>
      <c r="J3" t="s">
        <v>120</v>
      </c>
      <c r="K3" t="s">
        <v>102</v>
      </c>
      <c r="L3" t="s">
        <v>121</v>
      </c>
      <c r="P3" t="s">
        <v>122</v>
      </c>
    </row>
    <row r="4" spans="2:16" ht="18" customHeight="1">
      <c r="B4" t="s">
        <v>229</v>
      </c>
      <c r="C4" t="s">
        <v>223</v>
      </c>
      <c r="D4" t="s">
        <v>222</v>
      </c>
      <c r="F4" t="s">
        <v>123</v>
      </c>
      <c r="G4" s="25">
        <v>105</v>
      </c>
      <c r="H4" s="26">
        <v>2.7</v>
      </c>
      <c r="I4" s="1" t="s">
        <v>124</v>
      </c>
      <c r="J4" t="s">
        <v>120</v>
      </c>
      <c r="K4" t="s">
        <v>125</v>
      </c>
      <c r="L4" t="s">
        <v>126</v>
      </c>
      <c r="P4" t="s">
        <v>127</v>
      </c>
    </row>
    <row r="5" spans="2:16" ht="18" customHeight="1">
      <c r="B5" s="27"/>
      <c r="C5" t="s">
        <v>224</v>
      </c>
      <c r="D5" t="s">
        <v>222</v>
      </c>
      <c r="E5" s="27"/>
      <c r="F5" t="s">
        <v>128</v>
      </c>
      <c r="G5" s="25">
        <v>110</v>
      </c>
      <c r="H5" s="26">
        <v>2.9</v>
      </c>
      <c r="I5" s="1"/>
      <c r="J5" t="s">
        <v>120</v>
      </c>
      <c r="K5" t="s">
        <v>129</v>
      </c>
      <c r="P5" t="s">
        <v>130</v>
      </c>
    </row>
    <row r="6" spans="2:16" ht="18" customHeight="1">
      <c r="B6" t="s">
        <v>230</v>
      </c>
      <c r="C6" t="s">
        <v>226</v>
      </c>
      <c r="D6" t="s">
        <v>225</v>
      </c>
      <c r="F6" t="s">
        <v>131</v>
      </c>
      <c r="G6" s="25" t="s">
        <v>132</v>
      </c>
      <c r="H6" s="26">
        <v>2.9</v>
      </c>
      <c r="J6" t="s">
        <v>120</v>
      </c>
      <c r="K6" t="s">
        <v>133</v>
      </c>
      <c r="P6" t="s">
        <v>134</v>
      </c>
    </row>
    <row r="7" spans="2:16" ht="18" customHeight="1">
      <c r="B7" t="s">
        <v>231</v>
      </c>
      <c r="C7"/>
      <c r="D7"/>
      <c r="F7" t="s">
        <v>135</v>
      </c>
      <c r="G7" s="25" t="s">
        <v>136</v>
      </c>
      <c r="H7" s="26">
        <v>3</v>
      </c>
      <c r="I7" s="1" t="s">
        <v>124</v>
      </c>
      <c r="J7" t="s">
        <v>137</v>
      </c>
      <c r="K7" t="s">
        <v>102</v>
      </c>
      <c r="P7" t="s">
        <v>138</v>
      </c>
    </row>
    <row r="8" spans="2:16" ht="18" customHeight="1">
      <c r="B8"/>
      <c r="C8"/>
      <c r="D8"/>
      <c r="F8" t="s">
        <v>139</v>
      </c>
      <c r="G8" s="25">
        <v>111</v>
      </c>
      <c r="H8" s="26">
        <v>3</v>
      </c>
      <c r="I8" s="1"/>
      <c r="J8" t="s">
        <v>137</v>
      </c>
      <c r="K8" t="s">
        <v>125</v>
      </c>
      <c r="P8" t="s">
        <v>140</v>
      </c>
    </row>
    <row r="9" spans="2:16" ht="18" customHeight="1">
      <c r="B9" t="s">
        <v>232</v>
      </c>
      <c r="C9"/>
      <c r="D9"/>
      <c r="F9" t="s">
        <v>141</v>
      </c>
      <c r="G9" s="25">
        <v>140</v>
      </c>
      <c r="H9" s="26">
        <v>3</v>
      </c>
      <c r="I9" s="1"/>
      <c r="J9" t="s">
        <v>137</v>
      </c>
      <c r="K9" t="s">
        <v>129</v>
      </c>
      <c r="P9" t="s">
        <v>142</v>
      </c>
    </row>
    <row r="10" spans="2:16" ht="18" customHeight="1">
      <c r="B10"/>
      <c r="C10"/>
      <c r="D10"/>
      <c r="F10" t="s">
        <v>143</v>
      </c>
      <c r="G10" s="25" t="s">
        <v>144</v>
      </c>
      <c r="H10" s="26">
        <v>3</v>
      </c>
      <c r="I10" s="1" t="s">
        <v>124</v>
      </c>
      <c r="J10" t="s">
        <v>137</v>
      </c>
      <c r="K10" t="s">
        <v>145</v>
      </c>
      <c r="P10" t="s">
        <v>146</v>
      </c>
    </row>
    <row r="11" spans="2:16" ht="18" customHeight="1">
      <c r="B11"/>
      <c r="C11"/>
      <c r="D11"/>
      <c r="F11" t="s">
        <v>119</v>
      </c>
      <c r="G11" s="25">
        <v>170</v>
      </c>
      <c r="H11" s="26">
        <v>2.7</v>
      </c>
      <c r="I11" s="1"/>
      <c r="J11" t="s">
        <v>137</v>
      </c>
      <c r="K11" t="s">
        <v>133</v>
      </c>
    </row>
    <row r="12" spans="2:16" ht="18" customHeight="1">
      <c r="B12"/>
      <c r="C12"/>
      <c r="D12"/>
      <c r="F12" t="s">
        <v>147</v>
      </c>
      <c r="G12" s="25">
        <v>171</v>
      </c>
      <c r="H12" s="26">
        <v>2.8</v>
      </c>
      <c r="I12" s="1"/>
      <c r="J12" t="s">
        <v>137</v>
      </c>
      <c r="K12" t="s">
        <v>148</v>
      </c>
    </row>
    <row r="13" spans="2:16" ht="18" customHeight="1">
      <c r="B13"/>
      <c r="C13"/>
      <c r="D13"/>
      <c r="F13" t="s">
        <v>149</v>
      </c>
      <c r="G13" s="25" t="s">
        <v>150</v>
      </c>
      <c r="H13" s="26">
        <v>2.8</v>
      </c>
      <c r="I13" s="1" t="s">
        <v>124</v>
      </c>
      <c r="J13" t="s">
        <v>137</v>
      </c>
      <c r="K13" t="s">
        <v>151</v>
      </c>
    </row>
    <row r="14" spans="2:16" ht="18" customHeight="1">
      <c r="B14"/>
      <c r="C14"/>
      <c r="D14"/>
      <c r="F14" t="s">
        <v>152</v>
      </c>
      <c r="G14" s="25" t="s">
        <v>153</v>
      </c>
      <c r="H14" s="26">
        <v>2.7</v>
      </c>
      <c r="I14" s="1" t="s">
        <v>124</v>
      </c>
      <c r="J14" t="s">
        <v>137</v>
      </c>
      <c r="K14" t="s">
        <v>154</v>
      </c>
    </row>
    <row r="15" spans="2:16" ht="18" customHeight="1">
      <c r="B15"/>
      <c r="C15"/>
      <c r="D15"/>
      <c r="F15" t="s">
        <v>155</v>
      </c>
      <c r="G15" s="25" t="s">
        <v>156</v>
      </c>
      <c r="H15" s="26">
        <v>2.7</v>
      </c>
      <c r="I15" s="1" t="s">
        <v>124</v>
      </c>
      <c r="J15" t="s">
        <v>157</v>
      </c>
      <c r="K15" t="s">
        <v>102</v>
      </c>
    </row>
    <row r="16" spans="2:16" ht="18" customHeight="1">
      <c r="B16"/>
      <c r="C16"/>
      <c r="D16"/>
      <c r="F16" t="s">
        <v>158</v>
      </c>
      <c r="G16" s="25" t="s">
        <v>159</v>
      </c>
      <c r="H16" s="26">
        <v>2.2000000000000002</v>
      </c>
      <c r="I16" s="1" t="s">
        <v>124</v>
      </c>
      <c r="J16" t="s">
        <v>157</v>
      </c>
      <c r="K16" t="s">
        <v>125</v>
      </c>
    </row>
    <row r="17" spans="2:11" ht="18" customHeight="1">
      <c r="B17"/>
      <c r="C17"/>
      <c r="D17"/>
      <c r="F17" t="s">
        <v>160</v>
      </c>
      <c r="G17" s="25">
        <v>217</v>
      </c>
      <c r="H17" s="26">
        <v>1.8</v>
      </c>
      <c r="I17" s="1"/>
      <c r="J17" t="s">
        <v>157</v>
      </c>
      <c r="K17" t="s">
        <v>129</v>
      </c>
    </row>
    <row r="18" spans="2:11" ht="18" customHeight="1">
      <c r="B18"/>
      <c r="C18"/>
      <c r="D18"/>
      <c r="F18" t="s">
        <v>161</v>
      </c>
      <c r="G18" s="25" t="s">
        <v>100</v>
      </c>
      <c r="H18" s="26">
        <v>1.8</v>
      </c>
      <c r="I18" s="1" t="s">
        <v>124</v>
      </c>
      <c r="J18" t="s">
        <v>157</v>
      </c>
      <c r="K18" t="s">
        <v>133</v>
      </c>
    </row>
    <row r="19" spans="2:11" ht="18" customHeight="1">
      <c r="B19"/>
      <c r="C19"/>
      <c r="D19"/>
      <c r="F19" t="s">
        <v>162</v>
      </c>
      <c r="G19" s="25">
        <v>219</v>
      </c>
      <c r="H19" s="26">
        <v>1.8</v>
      </c>
      <c r="I19" s="1"/>
      <c r="J19" t="s">
        <v>163</v>
      </c>
      <c r="K19" t="s">
        <v>102</v>
      </c>
    </row>
    <row r="20" spans="2:11" ht="18" customHeight="1">
      <c r="B20"/>
      <c r="D20" t="s">
        <v>164</v>
      </c>
      <c r="F20" t="s">
        <v>165</v>
      </c>
      <c r="G20" s="25" t="s">
        <v>166</v>
      </c>
      <c r="H20" s="26">
        <v>1.8</v>
      </c>
      <c r="I20" s="1" t="s">
        <v>124</v>
      </c>
      <c r="J20" t="s">
        <v>163</v>
      </c>
      <c r="K20" t="s">
        <v>125</v>
      </c>
    </row>
    <row r="21" spans="2:11" ht="18" customHeight="1">
      <c r="B21"/>
      <c r="D21" t="s">
        <v>164</v>
      </c>
      <c r="F21" t="s">
        <v>167</v>
      </c>
      <c r="G21" s="25">
        <v>260</v>
      </c>
      <c r="H21" s="26">
        <v>2</v>
      </c>
      <c r="I21" s="1"/>
      <c r="J21" t="s">
        <v>163</v>
      </c>
      <c r="K21" t="s">
        <v>129</v>
      </c>
    </row>
    <row r="22" spans="2:11" ht="18" customHeight="1">
      <c r="B22"/>
      <c r="D22" t="s">
        <v>164</v>
      </c>
      <c r="F22" t="s">
        <v>162</v>
      </c>
      <c r="G22" s="25" t="s">
        <v>101</v>
      </c>
      <c r="H22" s="26">
        <v>2</v>
      </c>
      <c r="I22" s="1" t="s">
        <v>124</v>
      </c>
      <c r="J22" t="s">
        <v>163</v>
      </c>
      <c r="K22" t="s">
        <v>133</v>
      </c>
    </row>
    <row r="23" spans="2:11" ht="18" customHeight="1">
      <c r="B23"/>
      <c r="D23" t="s">
        <v>164</v>
      </c>
      <c r="F23" t="s">
        <v>165</v>
      </c>
      <c r="G23" s="25">
        <v>280</v>
      </c>
      <c r="H23" s="26">
        <v>2</v>
      </c>
      <c r="I23" s="1"/>
      <c r="J23" t="s">
        <v>163</v>
      </c>
      <c r="K23" t="s">
        <v>168</v>
      </c>
    </row>
    <row r="24" spans="2:11" ht="18" customHeight="1">
      <c r="B24"/>
      <c r="D24" t="s">
        <v>164</v>
      </c>
      <c r="G24" s="25" t="s">
        <v>169</v>
      </c>
      <c r="H24" s="26">
        <v>2</v>
      </c>
      <c r="I24" s="1" t="s">
        <v>124</v>
      </c>
      <c r="J24" t="s">
        <v>163</v>
      </c>
      <c r="K24" t="s">
        <v>170</v>
      </c>
    </row>
    <row r="25" spans="2:11" ht="18" customHeight="1">
      <c r="B25"/>
      <c r="C25"/>
      <c r="D25" t="s">
        <v>171</v>
      </c>
      <c r="G25" s="25">
        <v>300</v>
      </c>
      <c r="H25" s="26">
        <v>3</v>
      </c>
      <c r="I25" s="1"/>
      <c r="J25" t="s">
        <v>172</v>
      </c>
      <c r="K25" t="s">
        <v>102</v>
      </c>
    </row>
    <row r="26" spans="2:11" ht="18" customHeight="1">
      <c r="B26"/>
      <c r="C26"/>
      <c r="D26" t="s">
        <v>171</v>
      </c>
      <c r="G26" s="25" t="s">
        <v>173</v>
      </c>
      <c r="H26" s="26">
        <v>3</v>
      </c>
      <c r="I26" s="1" t="s">
        <v>124</v>
      </c>
      <c r="J26" t="s">
        <v>172</v>
      </c>
      <c r="K26" t="s">
        <v>125</v>
      </c>
    </row>
    <row r="27" spans="2:11" ht="18" customHeight="1">
      <c r="B27"/>
      <c r="D27" t="s">
        <v>171</v>
      </c>
      <c r="G27" s="25">
        <v>310</v>
      </c>
      <c r="H27" s="26">
        <v>2.9</v>
      </c>
      <c r="I27" s="1"/>
      <c r="J27" t="s">
        <v>172</v>
      </c>
      <c r="K27" t="s">
        <v>129</v>
      </c>
    </row>
    <row r="28" spans="2:11" ht="18" customHeight="1">
      <c r="B28"/>
      <c r="C28"/>
      <c r="D28" t="s">
        <v>171</v>
      </c>
      <c r="G28" s="25" t="s">
        <v>174</v>
      </c>
      <c r="H28" s="26">
        <v>2.9</v>
      </c>
      <c r="I28" s="1" t="s">
        <v>124</v>
      </c>
      <c r="J28" t="s">
        <v>172</v>
      </c>
      <c r="K28" t="s">
        <v>133</v>
      </c>
    </row>
    <row r="29" spans="2:11" ht="18" customHeight="1">
      <c r="B29"/>
      <c r="C29"/>
      <c r="D29" t="s">
        <v>171</v>
      </c>
      <c r="G29" s="25">
        <v>360</v>
      </c>
      <c r="H29" s="26">
        <v>3.6</v>
      </c>
      <c r="I29" s="1"/>
      <c r="J29" t="s">
        <v>175</v>
      </c>
      <c r="K29" t="s">
        <v>102</v>
      </c>
    </row>
    <row r="30" spans="2:11" ht="18" customHeight="1">
      <c r="B30"/>
      <c r="C30"/>
      <c r="D30" t="s">
        <v>171</v>
      </c>
      <c r="G30" s="25" t="s">
        <v>176</v>
      </c>
      <c r="H30" s="26">
        <v>3.6</v>
      </c>
      <c r="I30" s="1" t="s">
        <v>124</v>
      </c>
      <c r="J30" t="s">
        <v>175</v>
      </c>
      <c r="K30" t="s">
        <v>125</v>
      </c>
    </row>
    <row r="31" spans="2:11" ht="18" customHeight="1">
      <c r="B31"/>
      <c r="C31"/>
      <c r="D31" t="s">
        <v>171</v>
      </c>
      <c r="G31" s="25">
        <v>370</v>
      </c>
      <c r="H31" s="26">
        <v>3</v>
      </c>
      <c r="I31" s="1"/>
      <c r="J31" t="s">
        <v>175</v>
      </c>
      <c r="K31" t="s">
        <v>129</v>
      </c>
    </row>
    <row r="32" spans="2:11" ht="18" customHeight="1">
      <c r="B32"/>
      <c r="C32"/>
      <c r="D32" t="s">
        <v>177</v>
      </c>
      <c r="G32" s="25" t="s">
        <v>178</v>
      </c>
      <c r="H32" s="26">
        <v>3</v>
      </c>
      <c r="I32" s="1" t="s">
        <v>124</v>
      </c>
      <c r="J32" t="s">
        <v>179</v>
      </c>
      <c r="K32" t="s">
        <v>102</v>
      </c>
    </row>
    <row r="33" spans="2:12" ht="18" customHeight="1">
      <c r="B33"/>
      <c r="C33"/>
      <c r="D33" t="s">
        <v>177</v>
      </c>
      <c r="G33" s="25">
        <v>380</v>
      </c>
      <c r="H33" s="26">
        <v>3</v>
      </c>
      <c r="I33" s="1"/>
      <c r="J33" t="s">
        <v>179</v>
      </c>
      <c r="K33" t="s">
        <v>180</v>
      </c>
    </row>
    <row r="34" spans="2:12" ht="18" customHeight="1">
      <c r="B34"/>
      <c r="C34"/>
      <c r="D34" t="s">
        <v>177</v>
      </c>
      <c r="G34" s="25" t="s">
        <v>181</v>
      </c>
      <c r="H34" s="26">
        <v>3</v>
      </c>
      <c r="I34" s="1" t="s">
        <v>124</v>
      </c>
      <c r="J34" t="s">
        <v>179</v>
      </c>
      <c r="K34" t="s">
        <v>182</v>
      </c>
    </row>
    <row r="35" spans="2:12" ht="18" customHeight="1">
      <c r="B35"/>
      <c r="D35" t="s">
        <v>177</v>
      </c>
      <c r="G35" s="25" t="s">
        <v>183</v>
      </c>
      <c r="H35" s="26">
        <v>2.9</v>
      </c>
      <c r="I35" s="1" t="s">
        <v>124</v>
      </c>
      <c r="J35" t="s">
        <v>179</v>
      </c>
      <c r="K35" t="s">
        <v>125</v>
      </c>
    </row>
    <row r="36" spans="2:12" ht="18" customHeight="1">
      <c r="B36"/>
      <c r="D36" t="s">
        <v>177</v>
      </c>
      <c r="G36" s="25" t="s">
        <v>184</v>
      </c>
      <c r="H36" s="26">
        <v>2.9</v>
      </c>
      <c r="I36" s="1" t="s">
        <v>124</v>
      </c>
      <c r="J36" t="s">
        <v>179</v>
      </c>
      <c r="K36" t="s">
        <v>129</v>
      </c>
    </row>
    <row r="37" spans="2:12" ht="18" customHeight="1">
      <c r="B37"/>
      <c r="D37" t="s">
        <v>177</v>
      </c>
      <c r="G37" s="25" t="s">
        <v>185</v>
      </c>
      <c r="H37" s="26">
        <v>3.1</v>
      </c>
      <c r="I37" s="1" t="s">
        <v>124</v>
      </c>
      <c r="J37" t="s">
        <v>179</v>
      </c>
      <c r="K37" t="s">
        <v>186</v>
      </c>
    </row>
    <row r="38" spans="2:12" ht="18" customHeight="1">
      <c r="B38"/>
      <c r="D38" t="s">
        <v>177</v>
      </c>
      <c r="G38" s="25" t="s">
        <v>187</v>
      </c>
      <c r="H38" s="26">
        <v>2.9</v>
      </c>
      <c r="I38" s="1" t="s">
        <v>124</v>
      </c>
      <c r="J38" t="s">
        <v>188</v>
      </c>
      <c r="K38" t="s">
        <v>102</v>
      </c>
    </row>
    <row r="39" spans="2:12" ht="18" customHeight="1">
      <c r="B39"/>
      <c r="D39" t="s">
        <v>177</v>
      </c>
      <c r="G39" s="25" t="s">
        <v>189</v>
      </c>
      <c r="H39" s="26">
        <v>2.9</v>
      </c>
      <c r="I39" s="1" t="s">
        <v>124</v>
      </c>
      <c r="J39" t="s">
        <v>188</v>
      </c>
      <c r="K39" t="s">
        <v>125</v>
      </c>
    </row>
    <row r="40" spans="2:12" ht="18" customHeight="1">
      <c r="B40"/>
      <c r="C40"/>
      <c r="D40" t="s">
        <v>190</v>
      </c>
      <c r="G40" s="25" t="s">
        <v>191</v>
      </c>
      <c r="H40" s="26">
        <v>2.8</v>
      </c>
      <c r="I40" s="1" t="s">
        <v>124</v>
      </c>
      <c r="J40" t="s">
        <v>188</v>
      </c>
      <c r="K40" t="s">
        <v>129</v>
      </c>
    </row>
    <row r="41" spans="2:12" ht="18" customHeight="1">
      <c r="B41"/>
      <c r="C41"/>
      <c r="D41" t="s">
        <v>190</v>
      </c>
      <c r="G41" s="25" t="s">
        <v>192</v>
      </c>
      <c r="H41" s="26">
        <v>3.2</v>
      </c>
      <c r="I41" s="1" t="s">
        <v>124</v>
      </c>
      <c r="J41" t="s">
        <v>193</v>
      </c>
      <c r="K41" t="s">
        <v>102</v>
      </c>
    </row>
    <row r="42" spans="2:12" ht="18" customHeight="1">
      <c r="B42"/>
      <c r="C42"/>
      <c r="D42" t="s">
        <v>190</v>
      </c>
      <c r="G42" s="25" t="s">
        <v>194</v>
      </c>
      <c r="H42" s="26">
        <v>2.6</v>
      </c>
      <c r="I42" s="1" t="s">
        <v>124</v>
      </c>
      <c r="J42" t="s">
        <v>193</v>
      </c>
      <c r="K42" t="s">
        <v>195</v>
      </c>
    </row>
    <row r="43" spans="2:12" ht="18" customHeight="1">
      <c r="B43"/>
      <c r="C43"/>
      <c r="D43" t="s">
        <v>190</v>
      </c>
      <c r="G43" s="25" t="s">
        <v>196</v>
      </c>
      <c r="H43" s="26">
        <v>2.6</v>
      </c>
      <c r="I43" s="1" t="s">
        <v>124</v>
      </c>
      <c r="J43" t="s">
        <v>193</v>
      </c>
      <c r="K43" t="s">
        <v>180</v>
      </c>
    </row>
    <row r="44" spans="2:12" ht="18" customHeight="1">
      <c r="G44" s="25" t="s">
        <v>197</v>
      </c>
      <c r="H44" s="26">
        <v>2.9</v>
      </c>
      <c r="I44" s="1" t="s">
        <v>124</v>
      </c>
      <c r="J44" t="s">
        <v>193</v>
      </c>
      <c r="K44" t="s">
        <v>182</v>
      </c>
    </row>
    <row r="45" spans="2:12" ht="18" customHeight="1">
      <c r="B45"/>
      <c r="C45"/>
      <c r="G45" s="25" t="s">
        <v>198</v>
      </c>
      <c r="H45" s="26">
        <v>2.9</v>
      </c>
      <c r="I45" s="1" t="s">
        <v>124</v>
      </c>
      <c r="J45" t="s">
        <v>193</v>
      </c>
      <c r="K45" t="s">
        <v>125</v>
      </c>
    </row>
    <row r="46" spans="2:12" ht="18" customHeight="1">
      <c r="B46"/>
      <c r="C46"/>
      <c r="G46" s="25" t="s">
        <v>199</v>
      </c>
      <c r="H46" s="26">
        <v>2.9</v>
      </c>
      <c r="I46" s="1" t="s">
        <v>124</v>
      </c>
      <c r="J46" t="s">
        <v>193</v>
      </c>
      <c r="K46" t="s">
        <v>129</v>
      </c>
    </row>
    <row r="47" spans="2:12" ht="18" customHeight="1">
      <c r="B47"/>
      <c r="C47"/>
      <c r="G47" s="25" t="s">
        <v>200</v>
      </c>
      <c r="H47" s="26">
        <v>2.9</v>
      </c>
      <c r="I47" s="1" t="s">
        <v>124</v>
      </c>
      <c r="J47" t="s">
        <v>193</v>
      </c>
      <c r="K47" t="s">
        <v>201</v>
      </c>
      <c r="L47" t="s">
        <v>202</v>
      </c>
    </row>
    <row r="48" spans="2:12" ht="18" customHeight="1">
      <c r="B48"/>
      <c r="C48"/>
      <c r="G48" s="25" t="s">
        <v>203</v>
      </c>
      <c r="H48" s="26">
        <v>2.2000000000000002</v>
      </c>
      <c r="I48" s="1" t="s">
        <v>124</v>
      </c>
      <c r="J48" t="s">
        <v>193</v>
      </c>
      <c r="K48" t="s">
        <v>145</v>
      </c>
    </row>
    <row r="49" spans="2:11" ht="18" customHeight="1">
      <c r="B49"/>
      <c r="C49"/>
      <c r="G49" s="25" t="s">
        <v>204</v>
      </c>
      <c r="H49" s="26">
        <v>2.2000000000000002</v>
      </c>
      <c r="I49" s="1" t="s">
        <v>124</v>
      </c>
      <c r="J49" t="s">
        <v>193</v>
      </c>
      <c r="K49" t="s">
        <v>133</v>
      </c>
    </row>
    <row r="50" spans="2:11" ht="18" customHeight="1">
      <c r="B50"/>
      <c r="C50"/>
      <c r="G50" s="25" t="s">
        <v>205</v>
      </c>
      <c r="H50" s="26">
        <v>2.2000000000000002</v>
      </c>
      <c r="I50" s="1" t="s">
        <v>124</v>
      </c>
      <c r="J50" t="s">
        <v>193</v>
      </c>
      <c r="K50" t="s">
        <v>148</v>
      </c>
    </row>
    <row r="51" spans="2:11" ht="18" customHeight="1">
      <c r="B51"/>
      <c r="C51"/>
      <c r="J51" t="s">
        <v>193</v>
      </c>
      <c r="K51" t="s">
        <v>154</v>
      </c>
    </row>
    <row r="52" spans="2:11" ht="18" customHeight="1">
      <c r="B52"/>
      <c r="C52"/>
      <c r="J52" t="s">
        <v>206</v>
      </c>
      <c r="K52" t="s">
        <v>102</v>
      </c>
    </row>
    <row r="53" spans="2:11" ht="18" customHeight="1">
      <c r="B53"/>
      <c r="C53"/>
      <c r="J53" t="s">
        <v>206</v>
      </c>
      <c r="K53" t="s">
        <v>125</v>
      </c>
    </row>
    <row r="54" spans="2:11" ht="18" customHeight="1">
      <c r="B54"/>
      <c r="C54"/>
      <c r="J54" t="s">
        <v>206</v>
      </c>
      <c r="K54" t="s">
        <v>129</v>
      </c>
    </row>
    <row r="55" spans="2:11" ht="18" customHeight="1">
      <c r="B55"/>
      <c r="C55"/>
      <c r="J55" t="s">
        <v>206</v>
      </c>
      <c r="K55" t="s">
        <v>133</v>
      </c>
    </row>
    <row r="56" spans="2:11" ht="18" customHeight="1">
      <c r="B56"/>
      <c r="C56"/>
      <c r="J56" t="s">
        <v>206</v>
      </c>
      <c r="K56" t="s">
        <v>148</v>
      </c>
    </row>
    <row r="57" spans="2:11" ht="18" customHeight="1">
      <c r="B57"/>
      <c r="C57"/>
      <c r="J57" t="s">
        <v>207</v>
      </c>
      <c r="K57" t="s">
        <v>102</v>
      </c>
    </row>
    <row r="58" spans="2:11" ht="18" customHeight="1">
      <c r="J58" t="s">
        <v>207</v>
      </c>
      <c r="K58" t="s">
        <v>125</v>
      </c>
    </row>
    <row r="59" spans="2:11" ht="18" customHeight="1">
      <c r="J59" t="s">
        <v>207</v>
      </c>
      <c r="K59" t="s">
        <v>129</v>
      </c>
    </row>
    <row r="60" spans="2:11" ht="18" customHeight="1">
      <c r="J60" t="s">
        <v>207</v>
      </c>
      <c r="K60" t="s">
        <v>201</v>
      </c>
    </row>
    <row r="61" spans="2:11" ht="18" customHeight="1">
      <c r="J61" t="s">
        <v>207</v>
      </c>
      <c r="K61" t="s">
        <v>145</v>
      </c>
    </row>
    <row r="62" spans="2:11" ht="18" customHeight="1">
      <c r="J62" t="s">
        <v>207</v>
      </c>
      <c r="K62" t="s">
        <v>133</v>
      </c>
    </row>
    <row r="63" spans="2:11" ht="18" customHeight="1">
      <c r="J63" t="s">
        <v>207</v>
      </c>
      <c r="K63" t="s">
        <v>186</v>
      </c>
    </row>
    <row r="64" spans="2:11" ht="18" customHeight="1">
      <c r="J64" t="s">
        <v>207</v>
      </c>
      <c r="K64" t="s">
        <v>208</v>
      </c>
    </row>
    <row r="65" spans="10:11" ht="18" customHeight="1">
      <c r="J65" t="s">
        <v>207</v>
      </c>
      <c r="K65" t="s">
        <v>148</v>
      </c>
    </row>
    <row r="66" spans="10:11" ht="18" customHeight="1">
      <c r="J66" t="s">
        <v>207</v>
      </c>
      <c r="K66" t="s">
        <v>209</v>
      </c>
    </row>
    <row r="67" spans="10:11" ht="18" customHeight="1">
      <c r="J67" t="s">
        <v>210</v>
      </c>
      <c r="K67" t="s">
        <v>102</v>
      </c>
    </row>
    <row r="68" spans="10:11" ht="18" customHeight="1">
      <c r="J68" t="s">
        <v>210</v>
      </c>
      <c r="K68" t="s">
        <v>195</v>
      </c>
    </row>
    <row r="69" spans="10:11" ht="18" customHeight="1">
      <c r="J69" t="s">
        <v>210</v>
      </c>
      <c r="K69" t="s">
        <v>180</v>
      </c>
    </row>
    <row r="70" spans="10:11" ht="18" customHeight="1">
      <c r="J70" t="s">
        <v>210</v>
      </c>
      <c r="K70" t="s">
        <v>182</v>
      </c>
    </row>
    <row r="71" spans="10:11" ht="18" customHeight="1">
      <c r="J71" t="s">
        <v>210</v>
      </c>
      <c r="K71" t="s">
        <v>125</v>
      </c>
    </row>
    <row r="72" spans="10:11" ht="18" customHeight="1">
      <c r="J72" t="s">
        <v>210</v>
      </c>
      <c r="K72" t="s">
        <v>129</v>
      </c>
    </row>
    <row r="73" spans="10:11" ht="18" customHeight="1">
      <c r="J73" t="s">
        <v>210</v>
      </c>
      <c r="K73" t="s">
        <v>201</v>
      </c>
    </row>
    <row r="74" spans="10:11" ht="18" customHeight="1">
      <c r="J74" t="s">
        <v>210</v>
      </c>
      <c r="K74" t="s">
        <v>145</v>
      </c>
    </row>
    <row r="75" spans="10:11" ht="18" customHeight="1">
      <c r="J75" t="s">
        <v>210</v>
      </c>
      <c r="K75" t="s">
        <v>133</v>
      </c>
    </row>
    <row r="76" spans="10:11" ht="18" customHeight="1">
      <c r="J76" t="s">
        <v>210</v>
      </c>
      <c r="K76" t="s">
        <v>186</v>
      </c>
    </row>
    <row r="77" spans="10:11" ht="18" customHeight="1">
      <c r="J77" t="s">
        <v>211</v>
      </c>
      <c r="K77" t="s">
        <v>102</v>
      </c>
    </row>
    <row r="78" spans="10:11" ht="18" customHeight="1">
      <c r="J78" t="s">
        <v>211</v>
      </c>
      <c r="K78" t="s">
        <v>125</v>
      </c>
    </row>
    <row r="79" spans="10:11" ht="18" customHeight="1">
      <c r="J79" t="s">
        <v>211</v>
      </c>
      <c r="K79" t="s">
        <v>148</v>
      </c>
    </row>
    <row r="80" spans="10:11" ht="18" customHeight="1">
      <c r="J80" t="s">
        <v>212</v>
      </c>
      <c r="K80" t="s">
        <v>102</v>
      </c>
    </row>
    <row r="81" spans="10:11" ht="18" customHeight="1">
      <c r="J81" t="s">
        <v>212</v>
      </c>
      <c r="K81" t="s">
        <v>195</v>
      </c>
    </row>
    <row r="82" spans="10:11" ht="18" customHeight="1">
      <c r="J82" t="s">
        <v>212</v>
      </c>
      <c r="K82" t="s">
        <v>129</v>
      </c>
    </row>
    <row r="83" spans="10:11" ht="18" customHeight="1">
      <c r="J83" t="s">
        <v>212</v>
      </c>
      <c r="K83" t="s">
        <v>133</v>
      </c>
    </row>
    <row r="84" spans="10:11" ht="18" customHeight="1">
      <c r="J84" t="s">
        <v>213</v>
      </c>
      <c r="K84" t="s">
        <v>214</v>
      </c>
    </row>
    <row r="85" spans="10:11" ht="18" customHeight="1">
      <c r="J85" t="s">
        <v>213</v>
      </c>
      <c r="K85" t="s">
        <v>215</v>
      </c>
    </row>
    <row r="86" spans="10:11" ht="18" customHeight="1">
      <c r="J86" t="s">
        <v>213</v>
      </c>
      <c r="K86" t="s">
        <v>201</v>
      </c>
    </row>
    <row r="87" spans="10:11" ht="18" customHeight="1">
      <c r="J87" t="s">
        <v>213</v>
      </c>
      <c r="K87" t="s">
        <v>151</v>
      </c>
    </row>
    <row r="88" spans="10:11" ht="18" customHeight="1">
      <c r="J88" t="s">
        <v>216</v>
      </c>
      <c r="K88" t="s">
        <v>102</v>
      </c>
    </row>
    <row r="89" spans="10:11" ht="18" customHeight="1">
      <c r="J89" t="s">
        <v>216</v>
      </c>
      <c r="K89" t="s">
        <v>125</v>
      </c>
    </row>
    <row r="90" spans="10:11" ht="18" customHeight="1">
      <c r="J90" t="s">
        <v>216</v>
      </c>
      <c r="K90" t="s">
        <v>129</v>
      </c>
    </row>
    <row r="91" spans="10:11" ht="18" customHeight="1">
      <c r="J91" t="s">
        <v>216</v>
      </c>
      <c r="K91" t="s">
        <v>201</v>
      </c>
    </row>
    <row r="92" spans="10:11" ht="18" customHeight="1">
      <c r="J92" t="s">
        <v>216</v>
      </c>
      <c r="K92" t="s">
        <v>133</v>
      </c>
    </row>
    <row r="93" spans="10:11" ht="18" customHeight="1">
      <c r="J93" t="s">
        <v>216</v>
      </c>
      <c r="K93" t="s">
        <v>151</v>
      </c>
    </row>
    <row r="97" spans="10:10" ht="18" customHeight="1">
      <c r="J97">
        <v>123</v>
      </c>
    </row>
  </sheetData>
  <phoneticPr fontId="1"/>
  <pageMargins left="0.75" right="0.75" top="1" bottom="1" header="0.5" footer="0.5"/>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46721-5E43-474C-909C-DB5A3DFCEEFB}">
  <sheetPr codeName="Sheet2">
    <tabColor theme="5"/>
    <pageSetUpPr fitToPage="1"/>
  </sheetPr>
  <dimension ref="A1:N63"/>
  <sheetViews>
    <sheetView workbookViewId="0">
      <selection activeCell="F35" sqref="F35"/>
    </sheetView>
  </sheetViews>
  <sheetFormatPr defaultRowHeight="18"/>
  <cols>
    <col min="2" max="2" width="10.3984375" bestFit="1" customWidth="1"/>
    <col min="3" max="3" width="12.3984375" bestFit="1" customWidth="1"/>
    <col min="4" max="10" width="12.3984375" customWidth="1"/>
    <col min="11" max="11" width="16.3984375" customWidth="1"/>
    <col min="12" max="13" width="14.69921875" customWidth="1"/>
  </cols>
  <sheetData>
    <row r="1" spans="1:13">
      <c r="A1" s="15" t="s">
        <v>32</v>
      </c>
      <c r="B1" s="15" t="s">
        <v>33</v>
      </c>
      <c r="C1" s="15" t="s">
        <v>52</v>
      </c>
      <c r="D1" s="15" t="s">
        <v>31</v>
      </c>
      <c r="E1" s="15" t="s">
        <v>54</v>
      </c>
      <c r="F1" s="15" t="s">
        <v>217</v>
      </c>
      <c r="G1" s="15" t="s">
        <v>78</v>
      </c>
      <c r="H1" s="15" t="s">
        <v>73</v>
      </c>
      <c r="I1" s="15" t="s">
        <v>74</v>
      </c>
      <c r="J1" s="15" t="s">
        <v>35</v>
      </c>
      <c r="K1" s="15" t="s">
        <v>36</v>
      </c>
      <c r="L1" s="15" t="s">
        <v>37</v>
      </c>
      <c r="M1" s="15" t="s">
        <v>38</v>
      </c>
    </row>
    <row r="2" spans="1:13" ht="21" customHeight="1">
      <c r="A2" s="5"/>
      <c r="B2" s="1">
        <v>170</v>
      </c>
      <c r="C2" s="7" t="str">
        <f>_xlfn.XLOOKUP(B2,HelmetCollection!B2:B48,HelmetCollection!C2:C48)</f>
        <v>MayNov</v>
      </c>
      <c r="D2" s="7">
        <f>_xlfn.XLOOKUP(B2,HelmetCollection!B2:B48,HelmetCollection!D2:D48)</f>
        <v>2</v>
      </c>
      <c r="E2" s="8">
        <v>45597</v>
      </c>
      <c r="F2" s="6"/>
      <c r="G2" s="17"/>
      <c r="H2" s="1"/>
      <c r="I2" s="1"/>
      <c r="J2" s="18"/>
      <c r="K2" s="1"/>
      <c r="L2" s="1"/>
      <c r="M2" s="1"/>
    </row>
    <row r="3" spans="1:13" ht="21" customHeight="1">
      <c r="A3" s="5"/>
      <c r="B3" s="1" t="s">
        <v>2</v>
      </c>
      <c r="C3" s="7" t="str">
        <f>_xlfn.XLOOKUP(B3,HelmetCollection!B2:B48,HelmetCollection!C2:C48)</f>
        <v>MayNov</v>
      </c>
      <c r="D3" s="7">
        <f>_xlfn.XLOOKUP(B3,HelmetCollection!B2:B48,HelmetCollection!D2:D48)</f>
        <v>2</v>
      </c>
      <c r="E3" s="8">
        <v>45597</v>
      </c>
      <c r="F3" s="6"/>
      <c r="G3" s="17"/>
      <c r="H3" s="1"/>
      <c r="I3" s="1"/>
      <c r="J3" s="18"/>
      <c r="K3" s="1"/>
      <c r="L3" s="1"/>
      <c r="M3" s="1"/>
    </row>
    <row r="4" spans="1:13" ht="21" customHeight="1">
      <c r="A4" s="5"/>
      <c r="B4" s="1" t="s">
        <v>3</v>
      </c>
      <c r="C4" s="7" t="str">
        <f>_xlfn.XLOOKUP(B4,HelmetCollection!B2:B48,HelmetCollection!C2:C48)</f>
        <v>MayNov</v>
      </c>
      <c r="D4" s="7">
        <f>_xlfn.XLOOKUP(B4,HelmetCollection!B2:B48,HelmetCollection!D2:D48)</f>
        <v>2</v>
      </c>
      <c r="E4" s="8">
        <v>45597</v>
      </c>
      <c r="F4" s="6"/>
      <c r="G4" s="17"/>
      <c r="H4" s="1"/>
      <c r="I4" s="1"/>
      <c r="J4" s="18"/>
      <c r="K4" s="1"/>
      <c r="L4" s="1"/>
      <c r="M4" s="1"/>
    </row>
    <row r="5" spans="1:13" ht="21" customHeight="1">
      <c r="A5" s="5"/>
      <c r="B5" s="1" t="s">
        <v>4</v>
      </c>
      <c r="C5" s="7" t="str">
        <f>_xlfn.XLOOKUP(B5,HelmetCollection!B2:B48,HelmetCollection!C2:C48)</f>
        <v>MayNov</v>
      </c>
      <c r="D5" s="7">
        <f>_xlfn.XLOOKUP(B5,HelmetCollection!B2:B48,HelmetCollection!D2:D48)</f>
        <v>2</v>
      </c>
      <c r="E5" s="8">
        <v>45597</v>
      </c>
      <c r="F5" s="6"/>
      <c r="G5" s="17"/>
      <c r="H5" s="1"/>
      <c r="I5" s="1"/>
      <c r="J5" s="18"/>
      <c r="K5" s="1"/>
      <c r="L5" s="1"/>
      <c r="M5" s="1"/>
    </row>
    <row r="6" spans="1:13" ht="21" customHeight="1">
      <c r="A6" s="5"/>
      <c r="B6" s="1">
        <v>171</v>
      </c>
      <c r="C6" s="7" t="str">
        <f>_xlfn.XLOOKUP(B6,HelmetCollection!B2:B48,HelmetCollection!C2:C48)</f>
        <v>MayNov</v>
      </c>
      <c r="D6" s="7">
        <f>_xlfn.XLOOKUP(B6,HelmetCollection!B2:B48,HelmetCollection!D2:D48)</f>
        <v>2</v>
      </c>
      <c r="E6" s="8">
        <v>45597</v>
      </c>
      <c r="F6" s="6"/>
      <c r="G6" s="17"/>
      <c r="H6" s="1"/>
      <c r="I6" s="1"/>
      <c r="J6" s="18"/>
      <c r="K6" s="1"/>
      <c r="L6" s="1"/>
      <c r="M6" s="1"/>
    </row>
    <row r="7" spans="1:13" ht="21" customHeight="1">
      <c r="A7" s="5"/>
      <c r="B7" s="1" t="s">
        <v>5</v>
      </c>
      <c r="C7" s="7" t="str">
        <f>_xlfn.XLOOKUP(B7,HelmetCollection!B2:B48,HelmetCollection!C2:C48)</f>
        <v>MayNov</v>
      </c>
      <c r="D7" s="7">
        <f>_xlfn.XLOOKUP(B7,HelmetCollection!B2:B48,HelmetCollection!D2:D48)</f>
        <v>2</v>
      </c>
      <c r="E7" s="8">
        <v>45597</v>
      </c>
      <c r="F7" s="6"/>
      <c r="G7" s="17"/>
      <c r="H7" s="1"/>
      <c r="I7" s="1"/>
      <c r="J7" s="18"/>
      <c r="K7" s="1"/>
      <c r="L7" s="1"/>
      <c r="M7" s="1"/>
    </row>
    <row r="8" spans="1:13" ht="21" customHeight="1">
      <c r="A8" s="5"/>
      <c r="B8" s="1">
        <v>300</v>
      </c>
      <c r="C8" s="7" t="str">
        <f>_xlfn.XLOOKUP(B8,HelmetCollection!B2:B48,HelmetCollection!C2:C48)</f>
        <v>MayNov</v>
      </c>
      <c r="D8" s="7">
        <f>_xlfn.XLOOKUP(B8,HelmetCollection!B2:B48,HelmetCollection!D2:D48)</f>
        <v>2</v>
      </c>
      <c r="E8" s="8">
        <v>45597</v>
      </c>
      <c r="F8" s="6"/>
      <c r="G8" s="17"/>
      <c r="H8" s="1"/>
      <c r="I8" s="1"/>
      <c r="J8" s="18"/>
      <c r="K8" s="1"/>
      <c r="L8" s="1"/>
      <c r="M8" s="1"/>
    </row>
    <row r="9" spans="1:13" ht="21" customHeight="1">
      <c r="A9" s="5"/>
      <c r="B9" s="1" t="s">
        <v>6</v>
      </c>
      <c r="C9" s="7" t="str">
        <f>_xlfn.XLOOKUP(B9,HelmetCollection!B2:B48,HelmetCollection!C2:C48)</f>
        <v>MayNov</v>
      </c>
      <c r="D9" s="7">
        <f>_xlfn.XLOOKUP(B9,HelmetCollection!B2:B48,HelmetCollection!D2:D48)</f>
        <v>2</v>
      </c>
      <c r="E9" s="8">
        <v>45597</v>
      </c>
      <c r="F9" s="6"/>
      <c r="G9" s="17"/>
      <c r="H9" s="1"/>
      <c r="I9" s="1"/>
      <c r="J9" s="18"/>
      <c r="K9" s="1"/>
      <c r="L9" s="1"/>
      <c r="M9" s="1"/>
    </row>
    <row r="10" spans="1:13" ht="21" customHeight="1">
      <c r="A10" s="5"/>
      <c r="B10" s="1" t="s">
        <v>26</v>
      </c>
      <c r="C10" s="7" t="str">
        <f>_xlfn.XLOOKUP(B10,HelmetCollection!B2:B48,HelmetCollection!C2:C48)</f>
        <v>MayNov</v>
      </c>
      <c r="D10" s="7">
        <f>_xlfn.XLOOKUP(B10,HelmetCollection!B2:B48,HelmetCollection!D2:D48)</f>
        <v>3</v>
      </c>
      <c r="E10" s="8">
        <v>45597</v>
      </c>
      <c r="F10" s="6"/>
      <c r="G10" s="17"/>
      <c r="H10" s="1"/>
      <c r="I10" s="1"/>
      <c r="J10" s="18"/>
      <c r="K10" s="1"/>
      <c r="L10" s="1"/>
      <c r="M10" s="1"/>
    </row>
    <row r="11" spans="1:13" ht="21" customHeight="1">
      <c r="A11" s="7"/>
      <c r="B11" s="1"/>
      <c r="C11" s="7"/>
      <c r="D11" s="7"/>
      <c r="E11" s="8"/>
      <c r="F11" s="6"/>
      <c r="G11" s="19"/>
      <c r="H11" s="1"/>
      <c r="I11" s="1"/>
      <c r="J11" s="18"/>
      <c r="K11" s="1"/>
      <c r="L11" s="1"/>
      <c r="M11" s="1"/>
    </row>
    <row r="12" spans="1:13" ht="21" customHeight="1">
      <c r="B12" s="1"/>
      <c r="C12" s="7"/>
      <c r="D12" s="7"/>
      <c r="E12" s="8"/>
      <c r="F12" s="6"/>
      <c r="G12" s="19"/>
      <c r="H12" s="1"/>
      <c r="I12" s="1"/>
      <c r="J12" s="18"/>
      <c r="K12" s="1"/>
      <c r="L12" s="1"/>
      <c r="M12" s="1"/>
    </row>
    <row r="13" spans="1:13" ht="21" customHeight="1">
      <c r="B13" s="1"/>
      <c r="C13" s="7"/>
      <c r="D13" s="7"/>
      <c r="E13" s="8"/>
      <c r="F13" s="6"/>
      <c r="G13" s="19"/>
      <c r="H13" s="1"/>
      <c r="I13" s="1"/>
      <c r="J13" s="18"/>
      <c r="K13" s="1"/>
      <c r="L13" s="1"/>
      <c r="M13" s="1"/>
    </row>
    <row r="14" spans="1:13" ht="21" customHeight="1">
      <c r="B14" s="1"/>
      <c r="C14" s="7"/>
      <c r="D14" s="7"/>
      <c r="E14" s="8"/>
      <c r="F14" s="6"/>
      <c r="G14" s="19"/>
      <c r="H14" s="1"/>
      <c r="I14" s="1"/>
      <c r="J14" s="18"/>
      <c r="K14" s="1"/>
      <c r="L14" s="1"/>
      <c r="M14" s="1"/>
    </row>
    <row r="15" spans="1:13" ht="21" customHeight="1">
      <c r="B15" s="1"/>
      <c r="C15" s="7"/>
      <c r="D15" s="7"/>
      <c r="E15" s="8"/>
      <c r="F15" s="6"/>
      <c r="G15" s="19"/>
      <c r="H15" s="1"/>
      <c r="I15" s="1"/>
      <c r="J15" s="18"/>
      <c r="K15" s="1"/>
      <c r="L15" s="1"/>
      <c r="M15" s="1"/>
    </row>
    <row r="16" spans="1:13" ht="21" customHeight="1">
      <c r="B16" s="1"/>
      <c r="C16" s="7"/>
      <c r="D16" s="7"/>
      <c r="E16" s="8"/>
      <c r="F16" s="6"/>
      <c r="G16" s="19"/>
      <c r="H16" s="1"/>
      <c r="I16" s="1"/>
      <c r="J16" s="18"/>
      <c r="K16" s="1"/>
      <c r="L16" s="1"/>
      <c r="M16" s="1"/>
    </row>
    <row r="17" spans="1:14" ht="21" customHeight="1">
      <c r="B17" s="1"/>
      <c r="C17" s="7"/>
      <c r="D17" s="7"/>
      <c r="E17" s="8"/>
      <c r="F17" s="6"/>
      <c r="G17" s="19"/>
      <c r="H17" s="1"/>
      <c r="I17" s="1"/>
      <c r="J17" s="18"/>
      <c r="K17" s="1"/>
      <c r="L17" s="1"/>
      <c r="M17" s="1"/>
    </row>
    <row r="18" spans="1:14" ht="21" customHeight="1">
      <c r="B18" s="1"/>
      <c r="C18" s="7"/>
      <c r="D18" s="7"/>
      <c r="E18" s="8"/>
      <c r="F18" s="6"/>
      <c r="G18" s="19"/>
      <c r="H18" s="1"/>
      <c r="I18" s="1"/>
      <c r="J18" s="18"/>
      <c r="K18" s="1"/>
      <c r="L18" s="1"/>
      <c r="M18" s="1"/>
    </row>
    <row r="19" spans="1:14" ht="21" customHeight="1">
      <c r="B19" s="1"/>
      <c r="C19" s="7"/>
      <c r="D19" s="7"/>
      <c r="E19" s="8"/>
      <c r="F19" s="6"/>
      <c r="G19" s="19"/>
      <c r="H19" s="1"/>
      <c r="I19" s="1"/>
      <c r="J19" s="18"/>
      <c r="K19" s="1"/>
      <c r="L19" s="1"/>
      <c r="M19" s="1"/>
    </row>
    <row r="20" spans="1:14" ht="21" customHeight="1">
      <c r="B20" s="1"/>
      <c r="C20" s="7"/>
      <c r="D20" s="7"/>
      <c r="E20" s="8"/>
      <c r="F20" s="6"/>
      <c r="G20" s="19"/>
      <c r="H20" s="1"/>
      <c r="I20" s="1"/>
      <c r="J20" s="18"/>
      <c r="K20" s="1"/>
      <c r="L20" s="1"/>
      <c r="M20" s="1"/>
    </row>
    <row r="21" spans="1:14" ht="21" customHeight="1">
      <c r="B21" s="1"/>
      <c r="C21" s="7"/>
      <c r="D21" s="7"/>
      <c r="E21" s="8"/>
      <c r="F21" s="6"/>
      <c r="G21" s="19"/>
      <c r="H21" s="1"/>
      <c r="I21" s="1"/>
      <c r="J21" s="18"/>
      <c r="K21" s="1"/>
      <c r="L21" s="1"/>
      <c r="M21" s="1"/>
    </row>
    <row r="22" spans="1:14" ht="21" customHeight="1">
      <c r="B22" s="1"/>
      <c r="C22" s="7"/>
      <c r="D22" s="7"/>
      <c r="E22" s="8"/>
      <c r="F22" s="34"/>
      <c r="G22" s="35"/>
      <c r="H22" s="1"/>
      <c r="I22" s="1"/>
      <c r="J22" s="36"/>
      <c r="K22" s="1"/>
      <c r="L22" s="1"/>
      <c r="M22" s="1"/>
    </row>
    <row r="23" spans="1:14">
      <c r="B23" s="1"/>
      <c r="E23" s="21"/>
      <c r="F23" s="21"/>
      <c r="G23" s="20"/>
      <c r="H23" s="1"/>
      <c r="I23" s="1"/>
      <c r="J23" s="33"/>
      <c r="K23" s="1"/>
      <c r="L23" s="1"/>
      <c r="M23" s="1"/>
    </row>
    <row r="24" spans="1:14">
      <c r="B24" s="1"/>
      <c r="E24" s="21"/>
      <c r="F24" s="21"/>
      <c r="G24" s="20"/>
      <c r="H24" s="1"/>
      <c r="I24" s="1"/>
      <c r="J24" s="33"/>
      <c r="K24" s="1"/>
      <c r="L24" s="1"/>
      <c r="M24" s="1"/>
    </row>
    <row r="25" spans="1:14">
      <c r="A25" s="5"/>
      <c r="B25" s="1"/>
      <c r="C25" s="1"/>
      <c r="D25" s="1"/>
      <c r="E25" s="20"/>
      <c r="F25" s="21"/>
      <c r="G25" s="20"/>
      <c r="H25" s="1"/>
      <c r="I25" s="1"/>
      <c r="J25" s="1"/>
      <c r="K25" s="1"/>
      <c r="L25" s="1"/>
      <c r="M25" s="1"/>
      <c r="N25" s="1"/>
    </row>
    <row r="26" spans="1:14">
      <c r="B26" s="1"/>
      <c r="E26" s="21"/>
      <c r="F26" s="21"/>
      <c r="G26" s="20"/>
      <c r="H26" s="1"/>
      <c r="I26" s="1"/>
      <c r="J26" s="1"/>
      <c r="K26" s="1"/>
      <c r="L26" s="1"/>
      <c r="M26" s="1"/>
    </row>
    <row r="27" spans="1:14">
      <c r="B27" s="1"/>
      <c r="E27" s="21"/>
      <c r="F27" s="21"/>
      <c r="G27" s="20"/>
      <c r="H27" s="1"/>
      <c r="I27" s="1"/>
      <c r="J27" s="1"/>
      <c r="K27" s="1"/>
      <c r="L27" s="1"/>
      <c r="M27" s="1"/>
    </row>
    <row r="37" spans="6:12">
      <c r="G37" s="1"/>
      <c r="H37" s="1"/>
      <c r="I37" s="1"/>
    </row>
    <row r="38" spans="6:12">
      <c r="G38" s="1"/>
      <c r="H38" s="1"/>
      <c r="I38" s="1"/>
    </row>
    <row r="39" spans="6:12">
      <c r="G39" s="1"/>
      <c r="H39" s="1"/>
      <c r="I39" s="1"/>
    </row>
    <row r="40" spans="6:12">
      <c r="G40" s="1"/>
      <c r="H40" s="1"/>
      <c r="I40" s="1"/>
    </row>
    <row r="41" spans="6:12">
      <c r="G41" s="1"/>
      <c r="H41" s="1"/>
      <c r="I41" s="1"/>
    </row>
    <row r="42" spans="6:12">
      <c r="G42" s="1"/>
      <c r="H42" s="1"/>
      <c r="I42" s="1"/>
    </row>
    <row r="43" spans="6:12">
      <c r="F43" s="1"/>
      <c r="G43" s="1"/>
      <c r="H43" s="1"/>
      <c r="I43" s="1"/>
      <c r="J43" s="1"/>
      <c r="K43" s="1"/>
      <c r="L43" s="1"/>
    </row>
    <row r="44" spans="6:12">
      <c r="F44" s="1"/>
      <c r="G44" s="1"/>
      <c r="H44" s="1"/>
      <c r="I44" s="1"/>
      <c r="J44" s="1"/>
      <c r="K44" s="1"/>
      <c r="L44" s="1"/>
    </row>
    <row r="45" spans="6:12">
      <c r="F45" s="1"/>
      <c r="J45" s="1"/>
      <c r="K45" s="1"/>
      <c r="L45" s="1"/>
    </row>
    <row r="46" spans="6:12">
      <c r="F46" s="1"/>
      <c r="G46" s="1"/>
      <c r="H46" s="1"/>
      <c r="I46" s="1"/>
      <c r="J46" s="1"/>
      <c r="K46" s="1"/>
      <c r="L46" s="1"/>
    </row>
    <row r="47" spans="6:12">
      <c r="F47" s="1"/>
      <c r="G47" s="1"/>
      <c r="H47" s="1"/>
      <c r="I47" s="1"/>
      <c r="J47" s="1"/>
      <c r="K47" s="1"/>
      <c r="L47" s="1"/>
    </row>
    <row r="48" spans="6:12">
      <c r="F48" s="1"/>
      <c r="G48" s="1"/>
      <c r="H48" s="1"/>
      <c r="I48" s="1"/>
      <c r="J48" s="1"/>
      <c r="K48" s="1"/>
      <c r="L48" s="1"/>
    </row>
    <row r="49" spans="6:12">
      <c r="F49" s="1"/>
      <c r="J49" s="1"/>
      <c r="K49" s="1"/>
      <c r="L49" s="1"/>
    </row>
    <row r="50" spans="6:12">
      <c r="F50" s="1"/>
      <c r="G50" s="1"/>
      <c r="H50" s="1"/>
      <c r="I50" s="1"/>
      <c r="J50" s="1"/>
      <c r="K50" s="1"/>
      <c r="L50" s="1"/>
    </row>
    <row r="51" spans="6:12">
      <c r="F51" s="1"/>
      <c r="G51" s="1"/>
      <c r="H51" s="1"/>
      <c r="I51" s="1"/>
      <c r="J51" s="1"/>
      <c r="K51" s="1"/>
      <c r="L51" s="1"/>
    </row>
    <row r="52" spans="6:12">
      <c r="F52" s="1"/>
      <c r="G52" s="1"/>
      <c r="H52" s="1"/>
      <c r="I52" s="1"/>
      <c r="J52" s="1"/>
      <c r="K52" s="1"/>
      <c r="L52" s="1"/>
    </row>
    <row r="53" spans="6:12">
      <c r="F53" s="1"/>
      <c r="G53" s="1"/>
      <c r="H53" s="1"/>
      <c r="I53" s="1"/>
      <c r="J53" s="1"/>
      <c r="K53" s="1"/>
      <c r="L53" s="1"/>
    </row>
    <row r="54" spans="6:12">
      <c r="F54" s="1"/>
      <c r="G54" s="1"/>
      <c r="H54" s="1"/>
      <c r="I54" s="1"/>
      <c r="J54" s="1"/>
      <c r="K54" s="1"/>
      <c r="L54" s="1"/>
    </row>
    <row r="55" spans="6:12">
      <c r="F55" s="1"/>
      <c r="G55" s="1"/>
      <c r="H55" s="1"/>
      <c r="I55" s="1"/>
      <c r="J55" s="1"/>
      <c r="K55" s="1"/>
      <c r="L55" s="1"/>
    </row>
    <row r="56" spans="6:12">
      <c r="F56" s="1"/>
      <c r="G56" s="1"/>
      <c r="H56" s="1"/>
      <c r="I56" s="1"/>
      <c r="J56" s="1"/>
      <c r="K56" s="1"/>
      <c r="L56" s="1"/>
    </row>
    <row r="57" spans="6:12">
      <c r="F57" s="1"/>
      <c r="G57" s="1"/>
      <c r="H57" s="1"/>
      <c r="I57" s="1"/>
      <c r="J57" s="1"/>
      <c r="K57" s="1"/>
      <c r="L57" s="1"/>
    </row>
    <row r="58" spans="6:12">
      <c r="F58" s="1"/>
      <c r="G58" s="1"/>
      <c r="H58" s="1"/>
      <c r="I58" s="1"/>
      <c r="J58" s="1"/>
      <c r="K58" s="1"/>
      <c r="L58" s="1"/>
    </row>
    <row r="59" spans="6:12">
      <c r="F59" s="1"/>
      <c r="G59" s="1"/>
      <c r="H59" s="1"/>
      <c r="I59" s="1"/>
      <c r="J59" s="1"/>
      <c r="K59" s="1"/>
      <c r="L59" s="1"/>
    </row>
    <row r="60" spans="6:12">
      <c r="F60" s="1"/>
      <c r="G60" s="1"/>
      <c r="H60" s="1"/>
      <c r="I60" s="1"/>
      <c r="J60" s="1"/>
      <c r="K60" s="1"/>
      <c r="L60" s="1"/>
    </row>
    <row r="61" spans="6:12">
      <c r="F61" s="1"/>
      <c r="G61" s="1"/>
      <c r="H61" s="1"/>
      <c r="I61" s="1"/>
      <c r="J61" s="1"/>
      <c r="K61" s="1"/>
      <c r="L61" s="1"/>
    </row>
    <row r="62" spans="6:12">
      <c r="F62" s="1"/>
      <c r="G62" s="1"/>
      <c r="H62" s="1"/>
      <c r="I62" s="1"/>
      <c r="J62" s="1"/>
      <c r="K62" s="1"/>
      <c r="L62" s="1"/>
    </row>
    <row r="63" spans="6:12">
      <c r="F63" s="1"/>
      <c r="G63" s="1"/>
      <c r="H63" s="1"/>
      <c r="I63" s="1"/>
      <c r="J63" s="1"/>
      <c r="K63" s="1"/>
      <c r="L63" s="1"/>
    </row>
  </sheetData>
  <phoneticPr fontId="1"/>
  <dataValidations disablePrompts="1" count="1">
    <dataValidation errorStyle="information" allowBlank="1" showInputMessage="1" showErrorMessage="1" errorTitle="How to Use" error="製造ロットなどを記入してから、右クリックでマクロを起動してください。" sqref="A2:A10" xr:uid="{1DFA6627-8611-4D53-8181-D51518BDB755}"/>
  </dataValidations>
  <pageMargins left="0.7" right="0.7" top="0.75" bottom="0.75" header="0.3" footer="0.3"/>
  <pageSetup paperSize="9" scale="73" fitToHeight="0"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07742-8C65-4E53-85FC-0101E1B13120}">
  <sheetPr codeName="Sheet18">
    <tabColor theme="8"/>
  </sheetPr>
  <dimension ref="B1:T1"/>
  <sheetViews>
    <sheetView workbookViewId="0">
      <selection activeCell="H37" sqref="H37"/>
    </sheetView>
  </sheetViews>
  <sheetFormatPr defaultRowHeight="18"/>
  <cols>
    <col min="1" max="1" width="8.796875" style="1"/>
    <col min="2" max="2" width="9.69921875" style="1" bestFit="1" customWidth="1"/>
    <col min="3" max="3" width="8" style="1" bestFit="1" customWidth="1"/>
    <col min="4" max="4" width="9.796875" style="1" customWidth="1"/>
    <col min="5" max="5" width="11.296875" style="1" bestFit="1" customWidth="1"/>
    <col min="6" max="6" width="10.19921875" style="1" bestFit="1" customWidth="1"/>
    <col min="7" max="7" width="10.796875" style="1" customWidth="1"/>
    <col min="8" max="8" width="10.69921875" style="1" bestFit="1" customWidth="1"/>
    <col min="9" max="9" width="9.296875" style="1" bestFit="1" customWidth="1"/>
    <col min="10" max="10" width="11" style="1" customWidth="1"/>
    <col min="11" max="11" width="13.5" style="1" bestFit="1" customWidth="1"/>
    <col min="12" max="12" width="14" style="1" bestFit="1" customWidth="1"/>
    <col min="13" max="13" width="11.5" style="1" bestFit="1" customWidth="1"/>
    <col min="14" max="14" width="13.296875" style="1" bestFit="1" customWidth="1"/>
    <col min="15" max="15" width="13.5" style="1" bestFit="1" customWidth="1"/>
    <col min="16" max="16" width="13.3984375" style="1" bestFit="1" customWidth="1"/>
    <col min="17" max="17" width="12.296875" style="1" bestFit="1" customWidth="1"/>
    <col min="18" max="18" width="12.8984375" style="1" customWidth="1"/>
    <col min="19" max="19" width="10.3984375" style="1" bestFit="1" customWidth="1"/>
    <col min="20" max="16384" width="8.796875" style="1"/>
  </cols>
  <sheetData>
    <row r="1" spans="2:20" s="4" customFormat="1">
      <c r="B1" s="4" t="s">
        <v>56</v>
      </c>
      <c r="C1" s="4" t="s">
        <v>57</v>
      </c>
      <c r="D1" s="4" t="s">
        <v>58</v>
      </c>
      <c r="E1" s="4" t="s">
        <v>59</v>
      </c>
      <c r="F1" s="4" t="s">
        <v>60</v>
      </c>
      <c r="G1" s="4" t="s">
        <v>61</v>
      </c>
      <c r="H1" s="4" t="s">
        <v>62</v>
      </c>
      <c r="I1" s="4" t="s">
        <v>63</v>
      </c>
      <c r="J1" s="4" t="s">
        <v>64</v>
      </c>
      <c r="K1" s="4" t="s">
        <v>65</v>
      </c>
      <c r="L1" s="4" t="s">
        <v>66</v>
      </c>
      <c r="M1" s="4" t="s">
        <v>79</v>
      </c>
      <c r="N1" s="4" t="s">
        <v>67</v>
      </c>
      <c r="O1" s="4" t="s">
        <v>68</v>
      </c>
      <c r="P1" s="4" t="s">
        <v>69</v>
      </c>
      <c r="Q1" s="4" t="s">
        <v>70</v>
      </c>
      <c r="R1" s="4" t="s">
        <v>71</v>
      </c>
      <c r="S1" s="4" t="s">
        <v>80</v>
      </c>
      <c r="T1" s="4" t="s">
        <v>72</v>
      </c>
    </row>
  </sheetData>
  <autoFilter ref="B1:T1" xr:uid="{D7D07742-8C65-4E53-85FC-0101E1B13120}">
    <sortState xmlns:xlrd2="http://schemas.microsoft.com/office/spreadsheetml/2017/richdata2" ref="B2:T37">
      <sortCondition descending="1" ref="E1"/>
    </sortState>
  </autoFilter>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655A4-F401-48CE-9B71-F0B3D4F6E484}">
  <sheetPr codeName="Sheet3" filterMode="1"/>
  <dimension ref="A1:H49"/>
  <sheetViews>
    <sheetView workbookViewId="0">
      <selection activeCell="F36" sqref="F36"/>
    </sheetView>
  </sheetViews>
  <sheetFormatPr defaultRowHeight="18"/>
  <cols>
    <col min="2" max="2" width="8.796875" style="1"/>
    <col min="3" max="3" width="10.3984375" bestFit="1" customWidth="1"/>
    <col min="4" max="4" width="14.69921875" customWidth="1"/>
    <col min="6" max="6" width="24.59765625" customWidth="1"/>
  </cols>
  <sheetData>
    <row r="1" spans="1:5">
      <c r="A1" t="s">
        <v>53</v>
      </c>
      <c r="B1" s="1" t="s">
        <v>29</v>
      </c>
      <c r="C1" t="s">
        <v>30</v>
      </c>
      <c r="D1" t="s">
        <v>31</v>
      </c>
      <c r="E1" t="s">
        <v>48</v>
      </c>
    </row>
    <row r="2" spans="1:5">
      <c r="A2">
        <v>1</v>
      </c>
      <c r="B2" s="1" t="s">
        <v>11</v>
      </c>
      <c r="C2" s="3" t="s">
        <v>42</v>
      </c>
      <c r="D2">
        <v>2</v>
      </c>
      <c r="E2" t="s">
        <v>49</v>
      </c>
    </row>
    <row r="3" spans="1:5">
      <c r="A3">
        <v>1</v>
      </c>
      <c r="B3" s="1" t="s">
        <v>12</v>
      </c>
      <c r="C3" s="3" t="s">
        <v>42</v>
      </c>
      <c r="D3">
        <v>2</v>
      </c>
      <c r="E3" t="s">
        <v>49</v>
      </c>
    </row>
    <row r="4" spans="1:5">
      <c r="A4">
        <v>1</v>
      </c>
      <c r="B4" s="1" t="s">
        <v>13</v>
      </c>
      <c r="C4" s="3" t="s">
        <v>42</v>
      </c>
      <c r="D4">
        <v>2</v>
      </c>
      <c r="E4" t="s">
        <v>49</v>
      </c>
    </row>
    <row r="5" spans="1:5">
      <c r="A5">
        <v>1</v>
      </c>
      <c r="B5" s="1" t="s">
        <v>14</v>
      </c>
      <c r="C5" s="3" t="s">
        <v>42</v>
      </c>
      <c r="D5">
        <v>4</v>
      </c>
      <c r="E5" t="s">
        <v>49</v>
      </c>
    </row>
    <row r="6" spans="1:5">
      <c r="A6">
        <v>1</v>
      </c>
      <c r="B6" s="1" t="s">
        <v>25</v>
      </c>
      <c r="C6" s="3" t="s">
        <v>42</v>
      </c>
      <c r="D6">
        <v>2</v>
      </c>
      <c r="E6" t="s">
        <v>49</v>
      </c>
    </row>
    <row r="7" spans="1:5">
      <c r="A7">
        <v>1</v>
      </c>
      <c r="B7" s="1" t="s">
        <v>17</v>
      </c>
      <c r="C7" s="3" t="s">
        <v>42</v>
      </c>
      <c r="D7">
        <v>4</v>
      </c>
      <c r="E7" t="s">
        <v>49</v>
      </c>
    </row>
    <row r="8" spans="1:5">
      <c r="A8">
        <v>1</v>
      </c>
      <c r="B8" s="1" t="s">
        <v>19</v>
      </c>
      <c r="C8" s="3" t="s">
        <v>42</v>
      </c>
      <c r="D8">
        <v>4</v>
      </c>
      <c r="E8" t="s">
        <v>49</v>
      </c>
    </row>
    <row r="9" spans="1:5">
      <c r="A9">
        <v>1</v>
      </c>
      <c r="B9" s="1" t="s">
        <v>16</v>
      </c>
      <c r="C9" s="3" t="s">
        <v>42</v>
      </c>
      <c r="D9">
        <v>4</v>
      </c>
      <c r="E9" t="s">
        <v>49</v>
      </c>
    </row>
    <row r="10" spans="1:5">
      <c r="A10">
        <v>2</v>
      </c>
      <c r="B10" s="1">
        <v>100</v>
      </c>
      <c r="C10" s="3" t="s">
        <v>43</v>
      </c>
      <c r="D10">
        <v>3</v>
      </c>
      <c r="E10" t="s">
        <v>50</v>
      </c>
    </row>
    <row r="11" spans="1:5">
      <c r="A11">
        <v>2</v>
      </c>
      <c r="B11" s="1">
        <v>101</v>
      </c>
      <c r="C11" s="3" t="s">
        <v>43</v>
      </c>
      <c r="D11">
        <v>3</v>
      </c>
      <c r="E11" t="s">
        <v>49</v>
      </c>
    </row>
    <row r="12" spans="1:5">
      <c r="A12">
        <v>2</v>
      </c>
      <c r="B12" s="1" t="s">
        <v>27</v>
      </c>
      <c r="C12" s="3" t="s">
        <v>43</v>
      </c>
      <c r="D12">
        <v>2</v>
      </c>
      <c r="E12" t="s">
        <v>49</v>
      </c>
    </row>
    <row r="13" spans="1:5">
      <c r="A13">
        <v>2</v>
      </c>
      <c r="B13" s="1" t="s">
        <v>40</v>
      </c>
      <c r="C13" s="3" t="s">
        <v>43</v>
      </c>
      <c r="D13">
        <v>2</v>
      </c>
      <c r="E13" t="s">
        <v>49</v>
      </c>
    </row>
    <row r="14" spans="1:5">
      <c r="A14">
        <v>2</v>
      </c>
      <c r="B14" s="1" t="s">
        <v>28</v>
      </c>
      <c r="C14" s="3" t="s">
        <v>43</v>
      </c>
      <c r="D14">
        <v>4</v>
      </c>
      <c r="E14" t="s">
        <v>49</v>
      </c>
    </row>
    <row r="15" spans="1:5">
      <c r="A15">
        <v>2</v>
      </c>
      <c r="B15" s="1" t="s">
        <v>18</v>
      </c>
      <c r="C15" s="3" t="s">
        <v>43</v>
      </c>
      <c r="D15">
        <v>2</v>
      </c>
      <c r="E15" t="s">
        <v>49</v>
      </c>
    </row>
    <row r="16" spans="1:5">
      <c r="A16">
        <v>2</v>
      </c>
      <c r="B16" s="1" t="s">
        <v>41</v>
      </c>
      <c r="C16" s="3" t="s">
        <v>43</v>
      </c>
      <c r="D16">
        <v>3</v>
      </c>
      <c r="E16" t="s">
        <v>49</v>
      </c>
    </row>
    <row r="17" spans="1:8" hidden="1">
      <c r="A17">
        <v>3</v>
      </c>
      <c r="B17" s="1">
        <v>215</v>
      </c>
      <c r="C17" s="3" t="s">
        <v>44</v>
      </c>
      <c r="D17">
        <v>2</v>
      </c>
      <c r="E17" t="s">
        <v>51</v>
      </c>
    </row>
    <row r="18" spans="1:8" hidden="1">
      <c r="A18">
        <v>3</v>
      </c>
      <c r="B18" s="1" t="s">
        <v>20</v>
      </c>
      <c r="C18" s="3" t="s">
        <v>44</v>
      </c>
      <c r="D18">
        <v>2</v>
      </c>
      <c r="E18" t="s">
        <v>51</v>
      </c>
    </row>
    <row r="19" spans="1:8">
      <c r="A19">
        <v>3</v>
      </c>
      <c r="B19" s="1">
        <v>217</v>
      </c>
      <c r="C19" s="3" t="s">
        <v>44</v>
      </c>
      <c r="D19">
        <v>2</v>
      </c>
      <c r="E19" t="s">
        <v>49</v>
      </c>
    </row>
    <row r="20" spans="1:8">
      <c r="A20">
        <v>3</v>
      </c>
      <c r="B20" s="1" t="s">
        <v>21</v>
      </c>
      <c r="C20" s="3" t="s">
        <v>44</v>
      </c>
      <c r="D20">
        <v>2</v>
      </c>
      <c r="E20" t="s">
        <v>49</v>
      </c>
    </row>
    <row r="21" spans="1:8" hidden="1">
      <c r="A21">
        <v>3</v>
      </c>
      <c r="B21" s="1" t="s">
        <v>22</v>
      </c>
      <c r="C21" s="3" t="s">
        <v>44</v>
      </c>
      <c r="D21">
        <v>2</v>
      </c>
      <c r="E21" t="s">
        <v>51</v>
      </c>
    </row>
    <row r="22" spans="1:8">
      <c r="A22">
        <v>3</v>
      </c>
      <c r="B22" s="1">
        <v>260</v>
      </c>
      <c r="C22" s="3" t="s">
        <v>44</v>
      </c>
      <c r="D22">
        <v>2</v>
      </c>
      <c r="E22" t="s">
        <v>49</v>
      </c>
    </row>
    <row r="23" spans="1:8">
      <c r="A23">
        <v>3</v>
      </c>
      <c r="B23" s="1" t="s">
        <v>23</v>
      </c>
      <c r="C23" s="3" t="s">
        <v>44</v>
      </c>
      <c r="D23">
        <v>2</v>
      </c>
      <c r="E23" t="s">
        <v>49</v>
      </c>
    </row>
    <row r="24" spans="1:8" hidden="1">
      <c r="A24">
        <v>3</v>
      </c>
      <c r="B24" s="1" t="s">
        <v>24</v>
      </c>
      <c r="C24" s="3" t="s">
        <v>44</v>
      </c>
      <c r="D24">
        <v>2</v>
      </c>
      <c r="E24" t="s">
        <v>51</v>
      </c>
    </row>
    <row r="25" spans="1:8">
      <c r="A25">
        <v>4</v>
      </c>
      <c r="B25" s="1">
        <v>105</v>
      </c>
      <c r="C25" s="3" t="s">
        <v>45</v>
      </c>
      <c r="D25">
        <v>3</v>
      </c>
      <c r="E25" t="s">
        <v>49</v>
      </c>
    </row>
    <row r="26" spans="1:8">
      <c r="A26">
        <v>4</v>
      </c>
      <c r="B26" s="1">
        <v>110</v>
      </c>
      <c r="C26" s="3" t="s">
        <v>45</v>
      </c>
      <c r="D26">
        <v>2</v>
      </c>
      <c r="E26" t="s">
        <v>49</v>
      </c>
      <c r="H26" s="2"/>
    </row>
    <row r="27" spans="1:8">
      <c r="A27">
        <v>4</v>
      </c>
      <c r="B27" s="1" t="s">
        <v>0</v>
      </c>
      <c r="C27" s="3" t="s">
        <v>45</v>
      </c>
      <c r="D27">
        <v>2</v>
      </c>
      <c r="E27" t="s">
        <v>49</v>
      </c>
    </row>
    <row r="28" spans="1:8" hidden="1">
      <c r="A28">
        <v>4</v>
      </c>
      <c r="B28" s="1">
        <v>140</v>
      </c>
      <c r="C28" s="3" t="s">
        <v>45</v>
      </c>
      <c r="D28">
        <v>2</v>
      </c>
      <c r="E28" t="s">
        <v>51</v>
      </c>
    </row>
    <row r="29" spans="1:8" hidden="1">
      <c r="A29">
        <v>4</v>
      </c>
      <c r="B29" s="1" t="s">
        <v>1</v>
      </c>
      <c r="C29" s="3" t="s">
        <v>45</v>
      </c>
      <c r="D29">
        <v>2</v>
      </c>
      <c r="E29" t="s">
        <v>51</v>
      </c>
    </row>
    <row r="30" spans="1:8">
      <c r="A30">
        <v>5</v>
      </c>
      <c r="B30" s="1">
        <v>170</v>
      </c>
      <c r="C30" s="3" t="s">
        <v>46</v>
      </c>
      <c r="D30">
        <v>2</v>
      </c>
      <c r="E30" t="s">
        <v>49</v>
      </c>
    </row>
    <row r="31" spans="1:8">
      <c r="A31">
        <v>5</v>
      </c>
      <c r="B31" s="1" t="s">
        <v>2</v>
      </c>
      <c r="C31" s="3" t="s">
        <v>46</v>
      </c>
      <c r="D31">
        <v>2</v>
      </c>
      <c r="E31" t="s">
        <v>49</v>
      </c>
    </row>
    <row r="32" spans="1:8">
      <c r="A32">
        <v>5</v>
      </c>
      <c r="B32" s="1" t="s">
        <v>3</v>
      </c>
      <c r="C32" s="3" t="s">
        <v>46</v>
      </c>
      <c r="D32">
        <v>2</v>
      </c>
      <c r="E32" t="s">
        <v>49</v>
      </c>
    </row>
    <row r="33" spans="1:5">
      <c r="A33">
        <v>5</v>
      </c>
      <c r="B33" s="1" t="s">
        <v>4</v>
      </c>
      <c r="C33" s="3" t="s">
        <v>46</v>
      </c>
      <c r="D33">
        <v>2</v>
      </c>
      <c r="E33" t="s">
        <v>49</v>
      </c>
    </row>
    <row r="34" spans="1:5">
      <c r="A34">
        <v>5</v>
      </c>
      <c r="B34" s="1">
        <v>171</v>
      </c>
      <c r="C34" s="3" t="s">
        <v>46</v>
      </c>
      <c r="D34">
        <v>2</v>
      </c>
      <c r="E34" t="s">
        <v>49</v>
      </c>
    </row>
    <row r="35" spans="1:5">
      <c r="A35">
        <v>5</v>
      </c>
      <c r="B35" s="1" t="s">
        <v>5</v>
      </c>
      <c r="C35" s="3" t="s">
        <v>46</v>
      </c>
      <c r="D35">
        <v>2</v>
      </c>
      <c r="E35" t="s">
        <v>49</v>
      </c>
    </row>
    <row r="36" spans="1:5">
      <c r="A36">
        <v>5</v>
      </c>
      <c r="B36" s="1">
        <v>300</v>
      </c>
      <c r="C36" s="3" t="s">
        <v>46</v>
      </c>
      <c r="D36">
        <v>2</v>
      </c>
      <c r="E36" t="s">
        <v>49</v>
      </c>
    </row>
    <row r="37" spans="1:5">
      <c r="A37">
        <v>5</v>
      </c>
      <c r="B37" s="1" t="s">
        <v>6</v>
      </c>
      <c r="C37" s="3" t="s">
        <v>46</v>
      </c>
      <c r="D37">
        <v>2</v>
      </c>
      <c r="E37" t="s">
        <v>49</v>
      </c>
    </row>
    <row r="38" spans="1:5">
      <c r="A38">
        <v>5</v>
      </c>
      <c r="B38" s="1" t="s">
        <v>26</v>
      </c>
      <c r="C38" s="3" t="s">
        <v>46</v>
      </c>
      <c r="D38">
        <v>3</v>
      </c>
      <c r="E38" t="s">
        <v>49</v>
      </c>
    </row>
    <row r="39" spans="1:5">
      <c r="A39">
        <v>6</v>
      </c>
      <c r="B39" s="1">
        <v>310</v>
      </c>
      <c r="C39" s="3" t="s">
        <v>47</v>
      </c>
      <c r="D39">
        <v>2</v>
      </c>
      <c r="E39" t="s">
        <v>49</v>
      </c>
    </row>
    <row r="40" spans="1:5">
      <c r="A40">
        <v>6</v>
      </c>
      <c r="B40" s="1" t="s">
        <v>7</v>
      </c>
      <c r="C40" s="3" t="s">
        <v>47</v>
      </c>
      <c r="D40">
        <v>2</v>
      </c>
      <c r="E40" t="s">
        <v>49</v>
      </c>
    </row>
    <row r="41" spans="1:5">
      <c r="A41">
        <v>6</v>
      </c>
      <c r="B41" s="1">
        <v>360</v>
      </c>
      <c r="C41" s="3" t="s">
        <v>47</v>
      </c>
      <c r="D41">
        <v>2</v>
      </c>
      <c r="E41" t="s">
        <v>49</v>
      </c>
    </row>
    <row r="42" spans="1:5">
      <c r="A42">
        <v>6</v>
      </c>
      <c r="B42" s="1" t="s">
        <v>8</v>
      </c>
      <c r="C42" s="3" t="s">
        <v>47</v>
      </c>
      <c r="D42">
        <v>2</v>
      </c>
      <c r="E42" t="s">
        <v>49</v>
      </c>
    </row>
    <row r="43" spans="1:5">
      <c r="A43">
        <v>6</v>
      </c>
      <c r="B43" s="1" t="s">
        <v>9</v>
      </c>
      <c r="C43" s="3" t="s">
        <v>47</v>
      </c>
      <c r="D43">
        <v>2</v>
      </c>
      <c r="E43" t="s">
        <v>49</v>
      </c>
    </row>
    <row r="44" spans="1:5">
      <c r="A44">
        <v>6</v>
      </c>
      <c r="B44" s="1" t="s">
        <v>10</v>
      </c>
      <c r="C44" s="3" t="s">
        <v>47</v>
      </c>
      <c r="D44">
        <v>2</v>
      </c>
      <c r="E44" t="s">
        <v>49</v>
      </c>
    </row>
    <row r="45" spans="1:5">
      <c r="A45">
        <v>6</v>
      </c>
      <c r="B45" s="1" t="s">
        <v>15</v>
      </c>
      <c r="C45" s="3" t="s">
        <v>47</v>
      </c>
      <c r="D45">
        <v>3</v>
      </c>
      <c r="E45" t="s">
        <v>49</v>
      </c>
    </row>
    <row r="46" spans="1:5">
      <c r="A46">
        <v>1</v>
      </c>
      <c r="B46" s="1" t="s">
        <v>76</v>
      </c>
      <c r="C46" s="3" t="s">
        <v>42</v>
      </c>
      <c r="D46">
        <v>2</v>
      </c>
      <c r="E46" t="s">
        <v>49</v>
      </c>
    </row>
    <row r="47" spans="1:5">
      <c r="B47" s="1" t="s">
        <v>77</v>
      </c>
      <c r="C47" t="s">
        <v>39</v>
      </c>
      <c r="D47">
        <v>2</v>
      </c>
      <c r="E47" t="s">
        <v>49</v>
      </c>
    </row>
    <row r="48" spans="1:5">
      <c r="A48">
        <v>1</v>
      </c>
      <c r="B48" s="1" t="s">
        <v>75</v>
      </c>
      <c r="C48" s="3" t="s">
        <v>42</v>
      </c>
      <c r="D48">
        <v>1</v>
      </c>
      <c r="E48" t="s">
        <v>49</v>
      </c>
    </row>
    <row r="49" spans="3:3">
      <c r="C49" s="3"/>
    </row>
  </sheetData>
  <autoFilter ref="A1:H48" xr:uid="{6EA655A4-F401-48CE-9B71-F0B3D4F6E484}">
    <filterColumn colId="4">
      <filters>
        <filter val="Active"/>
      </filters>
    </filterColumn>
    <sortState xmlns:xlrd2="http://schemas.microsoft.com/office/spreadsheetml/2017/richdata2" ref="A2:H48">
      <sortCondition ref="A1"/>
    </sortState>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FF522-6B68-419B-B84B-FAAA6F583445}">
  <sheetPr codeName="Sheet5">
    <pageSetUpPr fitToPage="1"/>
  </sheetPr>
  <dimension ref="B1:X44"/>
  <sheetViews>
    <sheetView workbookViewId="0">
      <selection activeCell="O47" sqref="O47"/>
    </sheetView>
  </sheetViews>
  <sheetFormatPr defaultColWidth="9" defaultRowHeight="13.8"/>
  <cols>
    <col min="1" max="1" width="1.59765625" style="11" customWidth="1"/>
    <col min="2" max="24" width="3.59765625" style="11" customWidth="1"/>
    <col min="25" max="16384" width="9" style="11"/>
  </cols>
  <sheetData>
    <row r="1" spans="2:24" ht="9.9" customHeight="1" thickBot="1"/>
    <row r="2" spans="2:24" ht="15.6">
      <c r="B2" s="57" t="s">
        <v>81</v>
      </c>
      <c r="C2" s="58"/>
      <c r="D2" s="58"/>
      <c r="E2" s="58"/>
      <c r="F2" s="58"/>
      <c r="G2" s="58"/>
      <c r="H2" s="59"/>
      <c r="I2" s="60" t="s">
        <v>82</v>
      </c>
      <c r="J2" s="61"/>
      <c r="K2" s="61"/>
      <c r="L2" s="61"/>
      <c r="M2" s="61"/>
      <c r="N2" s="61"/>
      <c r="O2" s="61"/>
      <c r="P2" s="61"/>
      <c r="Q2" s="62"/>
      <c r="R2" s="66" t="s">
        <v>83</v>
      </c>
      <c r="S2" s="58"/>
      <c r="T2" s="58"/>
      <c r="U2" s="58"/>
      <c r="V2" s="58"/>
      <c r="W2" s="58"/>
      <c r="X2" s="67"/>
    </row>
    <row r="3" spans="2:24" ht="16.2" thickBot="1">
      <c r="B3" s="68"/>
      <c r="C3" s="69"/>
      <c r="D3" s="69"/>
      <c r="E3" s="69"/>
      <c r="F3" s="69"/>
      <c r="G3" s="69"/>
      <c r="H3" s="70"/>
      <c r="I3" s="63"/>
      <c r="J3" s="64"/>
      <c r="K3" s="64"/>
      <c r="L3" s="64"/>
      <c r="M3" s="64"/>
      <c r="N3" s="64"/>
      <c r="O3" s="64"/>
      <c r="P3" s="64"/>
      <c r="Q3" s="65"/>
      <c r="R3" s="71">
        <f ca="1">TODAY()</f>
        <v>45597</v>
      </c>
      <c r="S3" s="69"/>
      <c r="T3" s="69"/>
      <c r="U3" s="69"/>
      <c r="V3" s="69"/>
      <c r="W3" s="69"/>
      <c r="X3" s="72"/>
    </row>
    <row r="4" spans="2:24" ht="16.8" customHeight="1">
      <c r="B4" s="29" t="s">
        <v>84</v>
      </c>
      <c r="C4" s="30"/>
      <c r="D4" s="30"/>
      <c r="E4" s="30"/>
      <c r="F4" s="30"/>
      <c r="G4" s="30"/>
      <c r="H4" s="30"/>
      <c r="I4" s="30"/>
      <c r="J4" s="30"/>
      <c r="K4" s="30"/>
      <c r="L4" s="30"/>
      <c r="M4" s="30"/>
      <c r="N4" s="30"/>
      <c r="O4" s="30"/>
      <c r="P4" s="30"/>
      <c r="Q4" s="30"/>
      <c r="R4" s="30"/>
      <c r="S4" s="30"/>
      <c r="T4" s="30"/>
      <c r="U4" s="30"/>
      <c r="V4" s="30"/>
      <c r="W4" s="30"/>
      <c r="X4" s="31"/>
    </row>
    <row r="5" spans="2:24" ht="16.8" customHeight="1">
      <c r="B5" s="13"/>
      <c r="C5" s="53" t="s">
        <v>99</v>
      </c>
      <c r="D5" s="53"/>
      <c r="E5" s="53"/>
      <c r="F5" s="53"/>
      <c r="G5" s="53"/>
      <c r="H5" s="53"/>
      <c r="I5" s="53"/>
      <c r="J5" s="53"/>
      <c r="K5" s="53"/>
      <c r="L5" s="53"/>
      <c r="M5" s="53"/>
      <c r="N5" s="53"/>
      <c r="O5" s="53"/>
      <c r="P5" s="53"/>
      <c r="Q5" s="53"/>
      <c r="R5" s="53"/>
      <c r="S5" s="53"/>
      <c r="T5" s="53"/>
      <c r="U5" s="53"/>
      <c r="V5" s="53"/>
      <c r="W5" s="53"/>
      <c r="X5" s="54"/>
    </row>
    <row r="6" spans="2:24" ht="16.8" customHeight="1">
      <c r="B6" s="13"/>
      <c r="C6" s="53"/>
      <c r="D6" s="53"/>
      <c r="E6" s="53"/>
      <c r="F6" s="53"/>
      <c r="G6" s="53"/>
      <c r="H6" s="53"/>
      <c r="I6" s="53"/>
      <c r="J6" s="53"/>
      <c r="K6" s="53"/>
      <c r="L6" s="53"/>
      <c r="M6" s="53"/>
      <c r="N6" s="53"/>
      <c r="O6" s="53"/>
      <c r="P6" s="53"/>
      <c r="Q6" s="53"/>
      <c r="R6" s="53"/>
      <c r="S6" s="53"/>
      <c r="T6" s="53"/>
      <c r="U6" s="53"/>
      <c r="V6" s="53"/>
      <c r="W6" s="53"/>
      <c r="X6" s="54"/>
    </row>
    <row r="7" spans="2:24" ht="16.8" customHeight="1">
      <c r="B7" s="13"/>
      <c r="C7" s="53"/>
      <c r="D7" s="53"/>
      <c r="E7" s="53"/>
      <c r="F7" s="53"/>
      <c r="G7" s="53"/>
      <c r="H7" s="53"/>
      <c r="I7" s="53"/>
      <c r="J7" s="53"/>
      <c r="K7" s="53"/>
      <c r="L7" s="53"/>
      <c r="M7" s="53"/>
      <c r="N7" s="53"/>
      <c r="O7" s="53"/>
      <c r="P7" s="53"/>
      <c r="Q7" s="53"/>
      <c r="R7" s="53"/>
      <c r="S7" s="53"/>
      <c r="T7" s="53"/>
      <c r="U7" s="53"/>
      <c r="V7" s="53"/>
      <c r="W7" s="53"/>
      <c r="X7" s="54"/>
    </row>
    <row r="8" spans="2:24" ht="16.8" customHeight="1">
      <c r="B8" s="13"/>
      <c r="C8" s="53"/>
      <c r="D8" s="53"/>
      <c r="E8" s="53"/>
      <c r="F8" s="53"/>
      <c r="G8" s="53"/>
      <c r="H8" s="53"/>
      <c r="I8" s="53"/>
      <c r="J8" s="53"/>
      <c r="K8" s="53"/>
      <c r="L8" s="53"/>
      <c r="M8" s="53"/>
      <c r="N8" s="53"/>
      <c r="O8" s="53"/>
      <c r="P8" s="53"/>
      <c r="Q8" s="53"/>
      <c r="R8" s="53"/>
      <c r="S8" s="53"/>
      <c r="T8" s="53"/>
      <c r="U8" s="53"/>
      <c r="V8" s="53"/>
      <c r="W8" s="53"/>
      <c r="X8" s="54"/>
    </row>
    <row r="9" spans="2:24" ht="16.8" customHeight="1">
      <c r="B9" s="13"/>
      <c r="C9" s="53"/>
      <c r="D9" s="53"/>
      <c r="E9" s="53"/>
      <c r="F9" s="53"/>
      <c r="G9" s="53"/>
      <c r="H9" s="53"/>
      <c r="I9" s="53"/>
      <c r="J9" s="53"/>
      <c r="K9" s="53"/>
      <c r="L9" s="53"/>
      <c r="M9" s="53"/>
      <c r="N9" s="53"/>
      <c r="O9" s="53"/>
      <c r="P9" s="53"/>
      <c r="Q9" s="53"/>
      <c r="R9" s="53"/>
      <c r="S9" s="53"/>
      <c r="T9" s="53"/>
      <c r="U9" s="53"/>
      <c r="V9" s="53"/>
      <c r="W9" s="53"/>
      <c r="X9" s="54"/>
    </row>
    <row r="10" spans="2:24" ht="16.8" customHeight="1">
      <c r="B10" s="13"/>
      <c r="C10" s="53"/>
      <c r="D10" s="53"/>
      <c r="E10" s="53"/>
      <c r="F10" s="53"/>
      <c r="G10" s="53"/>
      <c r="H10" s="53"/>
      <c r="I10" s="53"/>
      <c r="J10" s="53"/>
      <c r="K10" s="53"/>
      <c r="L10" s="53"/>
      <c r="M10" s="53"/>
      <c r="N10" s="53"/>
      <c r="O10" s="53"/>
      <c r="P10" s="53"/>
      <c r="Q10" s="53"/>
      <c r="R10" s="53"/>
      <c r="S10" s="53"/>
      <c r="T10" s="53"/>
      <c r="U10" s="53"/>
      <c r="V10" s="53"/>
      <c r="W10" s="53"/>
      <c r="X10" s="54"/>
    </row>
    <row r="11" spans="2:24" ht="16.8" customHeight="1">
      <c r="B11" s="13"/>
      <c r="C11" s="53"/>
      <c r="D11" s="53"/>
      <c r="E11" s="53"/>
      <c r="F11" s="53"/>
      <c r="G11" s="53"/>
      <c r="H11" s="53"/>
      <c r="I11" s="53"/>
      <c r="J11" s="53"/>
      <c r="K11" s="53"/>
      <c r="L11" s="53"/>
      <c r="M11" s="53"/>
      <c r="N11" s="53"/>
      <c r="O11" s="53"/>
      <c r="P11" s="53"/>
      <c r="Q11" s="53"/>
      <c r="R11" s="53"/>
      <c r="S11" s="53"/>
      <c r="T11" s="53"/>
      <c r="U11" s="53"/>
      <c r="V11" s="53"/>
      <c r="W11" s="53"/>
      <c r="X11" s="54"/>
    </row>
    <row r="12" spans="2:24" ht="16.8" customHeight="1">
      <c r="B12" s="13"/>
      <c r="C12" s="53"/>
      <c r="D12" s="53"/>
      <c r="E12" s="53"/>
      <c r="F12" s="53"/>
      <c r="G12" s="53"/>
      <c r="H12" s="53"/>
      <c r="I12" s="53"/>
      <c r="J12" s="53"/>
      <c r="K12" s="53"/>
      <c r="L12" s="53"/>
      <c r="M12" s="53"/>
      <c r="N12" s="53"/>
      <c r="O12" s="53"/>
      <c r="P12" s="53"/>
      <c r="Q12" s="53"/>
      <c r="R12" s="53"/>
      <c r="S12" s="53"/>
      <c r="T12" s="53"/>
      <c r="U12" s="53"/>
      <c r="V12" s="53"/>
      <c r="W12" s="53"/>
      <c r="X12" s="54"/>
    </row>
    <row r="13" spans="2:24" ht="16.8" customHeight="1">
      <c r="B13" s="29" t="s">
        <v>85</v>
      </c>
      <c r="C13" s="30"/>
      <c r="D13" s="30"/>
      <c r="E13" s="30"/>
      <c r="F13" s="30"/>
      <c r="G13" s="30"/>
      <c r="H13" s="30"/>
      <c r="I13" s="30"/>
      <c r="J13" s="30"/>
      <c r="K13" s="30"/>
      <c r="L13" s="30"/>
      <c r="M13" s="30"/>
      <c r="N13" s="30"/>
      <c r="O13" s="30"/>
      <c r="P13" s="30"/>
      <c r="Q13" s="30"/>
      <c r="R13" s="30"/>
      <c r="S13" s="30"/>
      <c r="T13" s="30"/>
      <c r="U13" s="30"/>
      <c r="V13" s="30"/>
      <c r="W13" s="30"/>
      <c r="X13" s="31"/>
    </row>
    <row r="14" spans="2:24" ht="16.8" customHeight="1">
      <c r="B14" s="13"/>
      <c r="C14" s="52"/>
      <c r="D14" s="53"/>
      <c r="E14" s="53"/>
      <c r="F14" s="53"/>
      <c r="G14" s="53"/>
      <c r="H14" s="53"/>
      <c r="I14" s="53"/>
      <c r="J14" s="53"/>
      <c r="K14" s="53"/>
      <c r="L14" s="53"/>
      <c r="M14" s="53"/>
      <c r="N14" s="53"/>
      <c r="O14" s="53"/>
      <c r="P14" s="53"/>
      <c r="Q14" s="53"/>
      <c r="R14" s="53"/>
      <c r="S14" s="53"/>
      <c r="T14" s="53"/>
      <c r="U14" s="53"/>
      <c r="V14" s="53"/>
      <c r="W14" s="53"/>
      <c r="X14" s="54"/>
    </row>
    <row r="15" spans="2:24" ht="16.8" customHeight="1">
      <c r="B15" s="13"/>
      <c r="C15" s="53"/>
      <c r="D15" s="53"/>
      <c r="E15" s="53"/>
      <c r="F15" s="53"/>
      <c r="G15" s="53"/>
      <c r="H15" s="53"/>
      <c r="I15" s="53"/>
      <c r="J15" s="53"/>
      <c r="K15" s="53"/>
      <c r="L15" s="53"/>
      <c r="M15" s="53"/>
      <c r="N15" s="53"/>
      <c r="O15" s="53"/>
      <c r="P15" s="53"/>
      <c r="Q15" s="53"/>
      <c r="R15" s="53"/>
      <c r="S15" s="53"/>
      <c r="T15" s="53"/>
      <c r="U15" s="53"/>
      <c r="V15" s="53"/>
      <c r="W15" s="53"/>
      <c r="X15" s="54"/>
    </row>
    <row r="16" spans="2:24" ht="16.8" customHeight="1">
      <c r="B16" s="13"/>
      <c r="C16" s="53"/>
      <c r="D16" s="53"/>
      <c r="E16" s="53"/>
      <c r="F16" s="53"/>
      <c r="G16" s="53"/>
      <c r="H16" s="53"/>
      <c r="I16" s="53"/>
      <c r="J16" s="53"/>
      <c r="K16" s="53"/>
      <c r="L16" s="53"/>
      <c r="M16" s="53"/>
      <c r="N16" s="53"/>
      <c r="O16" s="53"/>
      <c r="P16" s="53"/>
      <c r="Q16" s="53"/>
      <c r="R16" s="53"/>
      <c r="S16" s="53"/>
      <c r="T16" s="53"/>
      <c r="U16" s="53"/>
      <c r="V16" s="53"/>
      <c r="W16" s="53"/>
      <c r="X16" s="54"/>
    </row>
    <row r="17" spans="2:24" ht="16.8" customHeight="1">
      <c r="B17" s="13"/>
      <c r="C17" s="53"/>
      <c r="D17" s="53"/>
      <c r="E17" s="53"/>
      <c r="F17" s="53"/>
      <c r="G17" s="53"/>
      <c r="H17" s="53"/>
      <c r="I17" s="53"/>
      <c r="J17" s="53"/>
      <c r="K17" s="53"/>
      <c r="L17" s="53"/>
      <c r="M17" s="53"/>
      <c r="N17" s="53"/>
      <c r="O17" s="53"/>
      <c r="P17" s="53"/>
      <c r="Q17" s="53"/>
      <c r="R17" s="53"/>
      <c r="S17" s="53"/>
      <c r="T17" s="53"/>
      <c r="U17" s="53"/>
      <c r="V17" s="53"/>
      <c r="W17" s="53"/>
      <c r="X17" s="54"/>
    </row>
    <row r="18" spans="2:24" ht="16.8" customHeight="1">
      <c r="B18" s="13"/>
      <c r="C18" s="53"/>
      <c r="D18" s="53"/>
      <c r="E18" s="53"/>
      <c r="F18" s="53"/>
      <c r="G18" s="53"/>
      <c r="H18" s="53"/>
      <c r="I18" s="53"/>
      <c r="J18" s="53"/>
      <c r="K18" s="53"/>
      <c r="L18" s="53"/>
      <c r="M18" s="53"/>
      <c r="N18" s="53"/>
      <c r="O18" s="53"/>
      <c r="P18" s="53"/>
      <c r="Q18" s="53"/>
      <c r="R18" s="53"/>
      <c r="S18" s="53"/>
      <c r="T18" s="53"/>
      <c r="U18" s="53"/>
      <c r="V18" s="53"/>
      <c r="W18" s="53"/>
      <c r="X18" s="54"/>
    </row>
    <row r="19" spans="2:24" ht="16.8" customHeight="1">
      <c r="B19" s="29" t="s">
        <v>86</v>
      </c>
      <c r="C19" s="30"/>
      <c r="D19" s="30"/>
      <c r="E19" s="30"/>
      <c r="F19" s="30"/>
      <c r="G19" s="30"/>
      <c r="H19" s="30"/>
      <c r="I19" s="30"/>
      <c r="J19" s="30"/>
      <c r="K19" s="30"/>
      <c r="L19" s="30"/>
      <c r="M19" s="30"/>
      <c r="N19" s="30"/>
      <c r="O19" s="30"/>
      <c r="P19" s="30"/>
      <c r="Q19" s="30"/>
      <c r="R19" s="30"/>
      <c r="S19" s="30"/>
      <c r="T19" s="30"/>
      <c r="U19" s="30"/>
      <c r="V19" s="30"/>
      <c r="W19" s="30"/>
      <c r="X19" s="31"/>
    </row>
    <row r="20" spans="2:24" ht="16.8" customHeight="1">
      <c r="B20" s="13"/>
      <c r="C20" s="53" t="s">
        <v>96</v>
      </c>
      <c r="D20" s="53"/>
      <c r="E20" s="53"/>
      <c r="F20" s="53"/>
      <c r="G20" s="53"/>
      <c r="H20" s="53"/>
      <c r="I20" s="53"/>
      <c r="J20" s="53"/>
      <c r="K20" s="53"/>
      <c r="L20" s="53"/>
      <c r="M20" s="53"/>
      <c r="N20" s="53"/>
      <c r="O20" s="53"/>
      <c r="P20" s="53"/>
      <c r="Q20" s="53"/>
      <c r="R20" s="53"/>
      <c r="S20" s="53"/>
      <c r="T20" s="53"/>
      <c r="U20" s="53"/>
      <c r="V20" s="53"/>
      <c r="W20" s="53"/>
      <c r="X20" s="54"/>
    </row>
    <row r="21" spans="2:24" ht="16.8" customHeight="1">
      <c r="B21" s="13"/>
      <c r="C21" s="53"/>
      <c r="D21" s="53"/>
      <c r="E21" s="53"/>
      <c r="F21" s="53"/>
      <c r="G21" s="53"/>
      <c r="H21" s="53"/>
      <c r="I21" s="53"/>
      <c r="J21" s="53"/>
      <c r="K21" s="53"/>
      <c r="L21" s="53"/>
      <c r="M21" s="53"/>
      <c r="N21" s="53"/>
      <c r="O21" s="53"/>
      <c r="P21" s="53"/>
      <c r="Q21" s="53"/>
      <c r="R21" s="53"/>
      <c r="S21" s="53"/>
      <c r="T21" s="53"/>
      <c r="U21" s="53"/>
      <c r="V21" s="53"/>
      <c r="W21" s="53"/>
      <c r="X21" s="54"/>
    </row>
    <row r="22" spans="2:24" ht="16.8" customHeight="1">
      <c r="B22" s="13"/>
      <c r="C22" s="53"/>
      <c r="D22" s="53"/>
      <c r="E22" s="53"/>
      <c r="F22" s="53"/>
      <c r="G22" s="53"/>
      <c r="H22" s="53"/>
      <c r="I22" s="53"/>
      <c r="J22" s="53"/>
      <c r="K22" s="53"/>
      <c r="L22" s="53"/>
      <c r="M22" s="53"/>
      <c r="N22" s="53"/>
      <c r="O22" s="53"/>
      <c r="P22" s="53"/>
      <c r="Q22" s="53"/>
      <c r="R22" s="53"/>
      <c r="S22" s="53"/>
      <c r="T22" s="53"/>
      <c r="U22" s="53"/>
      <c r="V22" s="53"/>
      <c r="W22" s="53"/>
      <c r="X22" s="54"/>
    </row>
    <row r="23" spans="2:24" ht="16.8" customHeight="1">
      <c r="B23" s="13"/>
      <c r="C23" s="53"/>
      <c r="D23" s="53"/>
      <c r="E23" s="53"/>
      <c r="F23" s="53"/>
      <c r="G23" s="53"/>
      <c r="H23" s="53"/>
      <c r="I23" s="53"/>
      <c r="J23" s="53"/>
      <c r="K23" s="53"/>
      <c r="L23" s="53"/>
      <c r="M23" s="53"/>
      <c r="N23" s="53"/>
      <c r="O23" s="53"/>
      <c r="P23" s="53"/>
      <c r="Q23" s="53"/>
      <c r="R23" s="53"/>
      <c r="S23" s="53"/>
      <c r="T23" s="53"/>
      <c r="U23" s="53"/>
      <c r="V23" s="53"/>
      <c r="W23" s="53"/>
      <c r="X23" s="54"/>
    </row>
    <row r="24" spans="2:24" ht="16.8" customHeight="1">
      <c r="B24" s="12"/>
      <c r="C24" s="53"/>
      <c r="D24" s="53"/>
      <c r="E24" s="53"/>
      <c r="F24" s="53"/>
      <c r="G24" s="53"/>
      <c r="H24" s="53"/>
      <c r="I24" s="53"/>
      <c r="J24" s="53"/>
      <c r="K24" s="53"/>
      <c r="L24" s="53"/>
      <c r="M24" s="53"/>
      <c r="N24" s="53"/>
      <c r="O24" s="53"/>
      <c r="P24" s="53"/>
      <c r="Q24" s="53"/>
      <c r="R24" s="53"/>
      <c r="S24" s="53"/>
      <c r="T24" s="53"/>
      <c r="U24" s="53"/>
      <c r="V24" s="53"/>
      <c r="W24" s="53"/>
      <c r="X24" s="54"/>
    </row>
    <row r="25" spans="2:24" ht="16.8" customHeight="1">
      <c r="B25" s="29" t="s">
        <v>87</v>
      </c>
      <c r="C25" s="30"/>
      <c r="D25" s="30"/>
      <c r="E25" s="30"/>
      <c r="F25" s="30"/>
      <c r="G25" s="30"/>
      <c r="H25" s="30"/>
      <c r="I25" s="30"/>
      <c r="J25" s="30"/>
      <c r="K25" s="30"/>
      <c r="L25" s="30"/>
      <c r="M25" s="30"/>
      <c r="N25" s="30"/>
      <c r="O25" s="30"/>
      <c r="P25" s="30"/>
      <c r="Q25" s="30"/>
      <c r="R25" s="30"/>
      <c r="S25" s="30"/>
      <c r="T25" s="30"/>
      <c r="U25" s="30"/>
      <c r="V25" s="30"/>
      <c r="W25" s="30"/>
      <c r="X25" s="31"/>
    </row>
    <row r="26" spans="2:24" ht="16.8" customHeight="1">
      <c r="B26" s="13"/>
      <c r="C26" s="52" t="s">
        <v>227</v>
      </c>
      <c r="D26" s="53"/>
      <c r="E26" s="53"/>
      <c r="F26" s="53"/>
      <c r="G26" s="53"/>
      <c r="H26" s="53"/>
      <c r="I26" s="53"/>
      <c r="J26" s="53"/>
      <c r="K26" s="53"/>
      <c r="L26" s="53"/>
      <c r="M26" s="53"/>
      <c r="N26" s="53"/>
      <c r="O26" s="53"/>
      <c r="P26" s="53"/>
      <c r="Q26" s="53"/>
      <c r="R26" s="53"/>
      <c r="S26" s="53"/>
      <c r="T26" s="53"/>
      <c r="U26" s="53"/>
      <c r="V26" s="53"/>
      <c r="W26" s="53"/>
      <c r="X26" s="54"/>
    </row>
    <row r="27" spans="2:24" ht="16.8" customHeight="1">
      <c r="B27" s="13"/>
      <c r="C27" s="53"/>
      <c r="D27" s="53"/>
      <c r="E27" s="53"/>
      <c r="F27" s="53"/>
      <c r="G27" s="53"/>
      <c r="H27" s="53"/>
      <c r="I27" s="53"/>
      <c r="J27" s="53"/>
      <c r="K27" s="53"/>
      <c r="L27" s="53"/>
      <c r="M27" s="53"/>
      <c r="N27" s="53"/>
      <c r="O27" s="53"/>
      <c r="P27" s="53"/>
      <c r="Q27" s="53"/>
      <c r="R27" s="53"/>
      <c r="S27" s="53"/>
      <c r="T27" s="53"/>
      <c r="U27" s="53"/>
      <c r="V27" s="53"/>
      <c r="W27" s="53"/>
      <c r="X27" s="54"/>
    </row>
    <row r="28" spans="2:24" ht="16.8" customHeight="1">
      <c r="B28" s="13"/>
      <c r="C28" s="53"/>
      <c r="D28" s="53"/>
      <c r="E28" s="53"/>
      <c r="F28" s="53"/>
      <c r="G28" s="53"/>
      <c r="H28" s="53"/>
      <c r="I28" s="53"/>
      <c r="J28" s="53"/>
      <c r="K28" s="53"/>
      <c r="L28" s="53"/>
      <c r="M28" s="53"/>
      <c r="N28" s="53"/>
      <c r="O28" s="53"/>
      <c r="P28" s="53"/>
      <c r="Q28" s="53"/>
      <c r="R28" s="53"/>
      <c r="S28" s="53"/>
      <c r="T28" s="53"/>
      <c r="U28" s="53"/>
      <c r="V28" s="53"/>
      <c r="W28" s="53"/>
      <c r="X28" s="54"/>
    </row>
    <row r="29" spans="2:24" ht="16.8" customHeight="1">
      <c r="B29" s="13"/>
      <c r="C29" s="53"/>
      <c r="D29" s="53"/>
      <c r="E29" s="53"/>
      <c r="F29" s="53"/>
      <c r="G29" s="53"/>
      <c r="H29" s="53"/>
      <c r="I29" s="53"/>
      <c r="J29" s="53"/>
      <c r="K29" s="53"/>
      <c r="L29" s="53"/>
      <c r="M29" s="53"/>
      <c r="N29" s="53"/>
      <c r="O29" s="53"/>
      <c r="P29" s="53"/>
      <c r="Q29" s="53"/>
      <c r="R29" s="53"/>
      <c r="S29" s="53"/>
      <c r="T29" s="53"/>
      <c r="U29" s="53"/>
      <c r="V29" s="53"/>
      <c r="W29" s="53"/>
      <c r="X29" s="54"/>
    </row>
    <row r="30" spans="2:24" ht="16.8" customHeight="1">
      <c r="B30" s="29" t="s">
        <v>88</v>
      </c>
      <c r="C30" s="30"/>
      <c r="D30" s="30"/>
      <c r="E30" s="30"/>
      <c r="F30" s="30"/>
      <c r="G30" s="30"/>
      <c r="H30" s="30"/>
      <c r="I30" s="30"/>
      <c r="J30" s="30"/>
      <c r="K30" s="30"/>
      <c r="L30" s="30"/>
      <c r="M30" s="30"/>
      <c r="N30" s="30"/>
      <c r="O30" s="30"/>
      <c r="P30" s="30"/>
      <c r="Q30" s="30"/>
      <c r="R30" s="30"/>
      <c r="S30" s="30"/>
      <c r="T30" s="30"/>
      <c r="U30" s="30"/>
      <c r="V30" s="30"/>
      <c r="W30" s="30"/>
      <c r="X30" s="31"/>
    </row>
    <row r="31" spans="2:24" ht="16.8" customHeight="1">
      <c r="B31" s="13"/>
      <c r="C31" s="53" t="s">
        <v>97</v>
      </c>
      <c r="D31" s="53"/>
      <c r="E31" s="53"/>
      <c r="F31" s="53"/>
      <c r="G31" s="53"/>
      <c r="H31" s="53"/>
      <c r="I31" s="53"/>
      <c r="J31" s="53"/>
      <c r="K31" s="53"/>
      <c r="L31" s="53"/>
      <c r="M31" s="53"/>
      <c r="N31" s="53"/>
      <c r="O31" s="53"/>
      <c r="P31" s="53"/>
      <c r="Q31" s="53"/>
      <c r="R31" s="53"/>
      <c r="S31" s="53"/>
      <c r="T31" s="53"/>
      <c r="U31" s="53"/>
      <c r="V31" s="53"/>
      <c r="W31" s="53"/>
      <c r="X31" s="54"/>
    </row>
    <row r="32" spans="2:24" ht="16.8" customHeight="1">
      <c r="B32" s="13"/>
      <c r="C32" s="53"/>
      <c r="D32" s="53"/>
      <c r="E32" s="53"/>
      <c r="F32" s="53"/>
      <c r="G32" s="53"/>
      <c r="H32" s="53"/>
      <c r="I32" s="53"/>
      <c r="J32" s="53"/>
      <c r="K32" s="53"/>
      <c r="L32" s="53"/>
      <c r="M32" s="53"/>
      <c r="N32" s="53"/>
      <c r="O32" s="53"/>
      <c r="P32" s="53"/>
      <c r="Q32" s="53"/>
      <c r="R32" s="53"/>
      <c r="S32" s="53"/>
      <c r="T32" s="53"/>
      <c r="U32" s="53"/>
      <c r="V32" s="53"/>
      <c r="W32" s="53"/>
      <c r="X32" s="54"/>
    </row>
    <row r="33" spans="2:24" ht="16.8" customHeight="1">
      <c r="B33" s="13"/>
      <c r="C33" s="53"/>
      <c r="D33" s="53"/>
      <c r="E33" s="53"/>
      <c r="F33" s="53"/>
      <c r="G33" s="53"/>
      <c r="H33" s="53"/>
      <c r="I33" s="53"/>
      <c r="J33" s="53"/>
      <c r="K33" s="53"/>
      <c r="L33" s="53"/>
      <c r="M33" s="53"/>
      <c r="N33" s="53"/>
      <c r="O33" s="53"/>
      <c r="P33" s="53"/>
      <c r="Q33" s="53"/>
      <c r="R33" s="53"/>
      <c r="S33" s="53"/>
      <c r="T33" s="53"/>
      <c r="U33" s="53"/>
      <c r="V33" s="53"/>
      <c r="W33" s="53"/>
      <c r="X33" s="54"/>
    </row>
    <row r="34" spans="2:24" ht="16.8" customHeight="1">
      <c r="B34" s="13"/>
      <c r="C34" s="53"/>
      <c r="D34" s="53"/>
      <c r="E34" s="53"/>
      <c r="F34" s="53"/>
      <c r="G34" s="53"/>
      <c r="H34" s="53"/>
      <c r="I34" s="53"/>
      <c r="J34" s="53"/>
      <c r="K34" s="53"/>
      <c r="L34" s="53"/>
      <c r="M34" s="53"/>
      <c r="N34" s="53"/>
      <c r="O34" s="53"/>
      <c r="P34" s="53"/>
      <c r="Q34" s="53"/>
      <c r="R34" s="53"/>
      <c r="S34" s="53"/>
      <c r="T34" s="53"/>
      <c r="U34" s="53"/>
      <c r="V34" s="53"/>
      <c r="W34" s="53"/>
      <c r="X34" s="54"/>
    </row>
    <row r="35" spans="2:24" ht="16.8" customHeight="1">
      <c r="B35" s="29" t="s">
        <v>89</v>
      </c>
      <c r="C35" s="32"/>
      <c r="D35" s="30"/>
      <c r="E35" s="30"/>
      <c r="F35" s="30"/>
      <c r="G35" s="30"/>
      <c r="H35" s="30"/>
      <c r="I35" s="30"/>
      <c r="J35" s="30"/>
      <c r="K35" s="30"/>
      <c r="L35" s="30"/>
      <c r="M35" s="30"/>
      <c r="N35" s="30"/>
      <c r="O35" s="30"/>
      <c r="P35" s="30"/>
      <c r="Q35" s="30"/>
      <c r="R35" s="30"/>
      <c r="S35" s="30"/>
      <c r="T35" s="30"/>
      <c r="U35" s="30"/>
      <c r="V35" s="30"/>
      <c r="W35" s="30"/>
      <c r="X35" s="31"/>
    </row>
    <row r="36" spans="2:24" ht="16.8" customHeight="1">
      <c r="B36" s="13"/>
      <c r="C36" s="52" t="s">
        <v>98</v>
      </c>
      <c r="D36" s="53"/>
      <c r="E36" s="53"/>
      <c r="F36" s="53"/>
      <c r="G36" s="53"/>
      <c r="H36" s="53"/>
      <c r="I36" s="53"/>
      <c r="J36" s="53"/>
      <c r="K36" s="53"/>
      <c r="L36" s="53"/>
      <c r="M36" s="53"/>
      <c r="N36" s="53"/>
      <c r="O36" s="53"/>
      <c r="P36" s="53"/>
      <c r="Q36" s="53"/>
      <c r="R36" s="53"/>
      <c r="S36" s="53"/>
      <c r="T36" s="53"/>
      <c r="U36" s="53"/>
      <c r="V36" s="53"/>
      <c r="W36" s="53"/>
      <c r="X36" s="54"/>
    </row>
    <row r="37" spans="2:24" ht="16.8" customHeight="1">
      <c r="B37" s="13"/>
      <c r="C37" s="53"/>
      <c r="D37" s="53"/>
      <c r="E37" s="53"/>
      <c r="F37" s="53"/>
      <c r="G37" s="53"/>
      <c r="H37" s="53"/>
      <c r="I37" s="53"/>
      <c r="J37" s="53"/>
      <c r="K37" s="53"/>
      <c r="L37" s="53"/>
      <c r="M37" s="53"/>
      <c r="N37" s="53"/>
      <c r="O37" s="53"/>
      <c r="P37" s="53"/>
      <c r="Q37" s="53"/>
      <c r="R37" s="53"/>
      <c r="S37" s="53"/>
      <c r="T37" s="53"/>
      <c r="U37" s="53"/>
      <c r="V37" s="53"/>
      <c r="W37" s="53"/>
      <c r="X37" s="54"/>
    </row>
    <row r="38" spans="2:24" ht="16.8" customHeight="1">
      <c r="B38" s="13"/>
      <c r="C38" s="53"/>
      <c r="D38" s="53"/>
      <c r="E38" s="53"/>
      <c r="F38" s="53"/>
      <c r="G38" s="53"/>
      <c r="H38" s="53"/>
      <c r="I38" s="53"/>
      <c r="J38" s="53"/>
      <c r="K38" s="53"/>
      <c r="L38" s="53"/>
      <c r="M38" s="53"/>
      <c r="N38" s="53"/>
      <c r="O38" s="53"/>
      <c r="P38" s="53"/>
      <c r="Q38" s="53"/>
      <c r="R38" s="53"/>
      <c r="S38" s="53"/>
      <c r="T38" s="53"/>
      <c r="U38" s="53"/>
      <c r="V38" s="53"/>
      <c r="W38" s="53"/>
      <c r="X38" s="54"/>
    </row>
    <row r="39" spans="2:24" ht="16.8" customHeight="1" thickBot="1">
      <c r="B39" s="14"/>
      <c r="C39" s="55"/>
      <c r="D39" s="55"/>
      <c r="E39" s="55"/>
      <c r="F39" s="55"/>
      <c r="G39" s="55"/>
      <c r="H39" s="55"/>
      <c r="I39" s="55"/>
      <c r="J39" s="55"/>
      <c r="K39" s="55"/>
      <c r="L39" s="55"/>
      <c r="M39" s="55"/>
      <c r="N39" s="55"/>
      <c r="O39" s="55"/>
      <c r="P39" s="55"/>
      <c r="Q39" s="55"/>
      <c r="R39" s="55"/>
      <c r="S39" s="55"/>
      <c r="T39" s="55"/>
      <c r="U39" s="55"/>
      <c r="V39" s="55"/>
      <c r="W39" s="55"/>
      <c r="X39" s="56"/>
    </row>
    <row r="40" spans="2:24" ht="9.9" customHeight="1"/>
    <row r="41" spans="2:24" ht="18" customHeight="1">
      <c r="F41" s="49" t="s">
        <v>90</v>
      </c>
      <c r="G41" s="50"/>
      <c r="H41" s="51"/>
      <c r="I41" s="38" t="s">
        <v>91</v>
      </c>
      <c r="J41" s="38"/>
      <c r="K41" s="38"/>
      <c r="L41" s="38" t="s">
        <v>92</v>
      </c>
      <c r="M41" s="38"/>
      <c r="N41" s="38"/>
      <c r="O41" s="38" t="s">
        <v>93</v>
      </c>
      <c r="P41" s="38"/>
      <c r="Q41" s="38"/>
      <c r="S41" s="49" t="s">
        <v>94</v>
      </c>
      <c r="T41" s="50"/>
      <c r="U41" s="51"/>
      <c r="V41" s="38" t="s">
        <v>95</v>
      </c>
      <c r="W41" s="38"/>
      <c r="X41" s="38"/>
    </row>
    <row r="42" spans="2:24" ht="18" customHeight="1">
      <c r="F42" s="39"/>
      <c r="G42" s="39"/>
      <c r="H42" s="39"/>
      <c r="I42" s="39"/>
      <c r="J42" s="39"/>
      <c r="K42" s="39"/>
      <c r="L42" s="39"/>
      <c r="M42" s="39"/>
      <c r="N42" s="39"/>
      <c r="O42" s="39"/>
      <c r="P42" s="39"/>
      <c r="Q42" s="39"/>
      <c r="S42" s="40"/>
      <c r="T42" s="41"/>
      <c r="U42" s="42"/>
      <c r="V42" s="39"/>
      <c r="W42" s="39"/>
      <c r="X42" s="39"/>
    </row>
    <row r="43" spans="2:24" ht="18" customHeight="1">
      <c r="F43" s="39"/>
      <c r="G43" s="39"/>
      <c r="H43" s="39"/>
      <c r="I43" s="39"/>
      <c r="J43" s="39"/>
      <c r="K43" s="39"/>
      <c r="L43" s="39"/>
      <c r="M43" s="39"/>
      <c r="N43" s="39"/>
      <c r="O43" s="39"/>
      <c r="P43" s="39"/>
      <c r="Q43" s="39"/>
      <c r="S43" s="43"/>
      <c r="T43" s="44"/>
      <c r="U43" s="45"/>
      <c r="V43" s="39"/>
      <c r="W43" s="39"/>
      <c r="X43" s="39"/>
    </row>
    <row r="44" spans="2:24" ht="18" customHeight="1">
      <c r="F44" s="39"/>
      <c r="G44" s="39"/>
      <c r="H44" s="39"/>
      <c r="I44" s="39"/>
      <c r="J44" s="39"/>
      <c r="K44" s="39"/>
      <c r="L44" s="39"/>
      <c r="M44" s="39"/>
      <c r="N44" s="39"/>
      <c r="O44" s="39"/>
      <c r="P44" s="39"/>
      <c r="Q44" s="39"/>
      <c r="S44" s="46"/>
      <c r="T44" s="47"/>
      <c r="U44" s="48"/>
      <c r="V44" s="39"/>
      <c r="W44" s="39"/>
      <c r="X44" s="39"/>
    </row>
  </sheetData>
  <mergeCells count="23">
    <mergeCell ref="C5:X12"/>
    <mergeCell ref="B2:H2"/>
    <mergeCell ref="I2:Q3"/>
    <mergeCell ref="R2:X2"/>
    <mergeCell ref="B3:H3"/>
    <mergeCell ref="R3:X3"/>
    <mergeCell ref="C14:X18"/>
    <mergeCell ref="C20:X24"/>
    <mergeCell ref="C26:X29"/>
    <mergeCell ref="C31:X34"/>
    <mergeCell ref="C36:X39"/>
    <mergeCell ref="V41:X41"/>
    <mergeCell ref="F42:H44"/>
    <mergeCell ref="I42:K44"/>
    <mergeCell ref="L42:N44"/>
    <mergeCell ref="O42:Q44"/>
    <mergeCell ref="S42:U44"/>
    <mergeCell ref="V42:X44"/>
    <mergeCell ref="F41:H41"/>
    <mergeCell ref="I41:K41"/>
    <mergeCell ref="L41:N41"/>
    <mergeCell ref="O41:Q41"/>
    <mergeCell ref="S41:U41"/>
  </mergeCells>
  <phoneticPr fontId="1"/>
  <pageMargins left="0.59055118110236227" right="0" top="0.19685039370078741" bottom="0.19685039370078741"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971A7-9113-4F06-849C-8A8ECF421396}">
  <sheetPr codeName="Sheet6"/>
  <dimension ref="A4:F43"/>
  <sheetViews>
    <sheetView workbookViewId="0">
      <selection activeCell="L48" sqref="L48"/>
    </sheetView>
  </sheetViews>
  <sheetFormatPr defaultRowHeight="13.8"/>
  <cols>
    <col min="1" max="1" width="12" style="9" customWidth="1"/>
    <col min="2" max="2" width="11.19921875" style="9" customWidth="1"/>
    <col min="3" max="5" width="14.19921875" style="9" customWidth="1"/>
    <col min="6" max="6" width="6.69921875" style="9" customWidth="1"/>
    <col min="7" max="16384" width="8.796875" style="9"/>
  </cols>
  <sheetData>
    <row r="4" spans="1:6" ht="28.05" customHeight="1">
      <c r="A4" s="16" t="s">
        <v>34</v>
      </c>
      <c r="B4" s="16" t="s">
        <v>35</v>
      </c>
      <c r="C4" s="16" t="s">
        <v>36</v>
      </c>
      <c r="D4" s="16" t="s">
        <v>37</v>
      </c>
      <c r="E4" s="16" t="s">
        <v>38</v>
      </c>
      <c r="F4" s="16" t="s">
        <v>55</v>
      </c>
    </row>
    <row r="7" spans="1:6">
      <c r="A7" s="10"/>
    </row>
    <row r="8" spans="1:6">
      <c r="A8" s="10"/>
    </row>
    <row r="9" spans="1:6">
      <c r="A9" s="10"/>
    </row>
    <row r="10" spans="1:6">
      <c r="A10" s="10"/>
    </row>
    <row r="11" spans="1:6">
      <c r="A11" s="10"/>
    </row>
    <row r="12" spans="1:6">
      <c r="A12" s="10"/>
    </row>
    <row r="13" spans="1:6">
      <c r="A13" s="10"/>
    </row>
    <row r="14" spans="1:6">
      <c r="A14" s="10"/>
    </row>
    <row r="15" spans="1:6">
      <c r="A15" s="10"/>
    </row>
    <row r="16" spans="1:6">
      <c r="A16" s="10"/>
    </row>
    <row r="17" spans="1:1">
      <c r="A17" s="10"/>
    </row>
    <row r="18" spans="1:1">
      <c r="A18" s="10"/>
    </row>
    <row r="19" spans="1:1">
      <c r="A19" s="10"/>
    </row>
    <row r="20" spans="1:1">
      <c r="A20" s="10"/>
    </row>
    <row r="21" spans="1:1">
      <c r="A21" s="10"/>
    </row>
    <row r="22" spans="1:1">
      <c r="A22" s="10"/>
    </row>
    <row r="23" spans="1:1">
      <c r="A23" s="10"/>
    </row>
    <row r="24" spans="1:1">
      <c r="A24" s="10"/>
    </row>
    <row r="25" spans="1:1">
      <c r="A25" s="10"/>
    </row>
    <row r="26" spans="1:1">
      <c r="A26" s="10"/>
    </row>
    <row r="27" spans="1:1">
      <c r="A27" s="10"/>
    </row>
    <row r="28" spans="1:1">
      <c r="A28" s="10"/>
    </row>
    <row r="29" spans="1:1">
      <c r="A29" s="10"/>
    </row>
    <row r="30" spans="1:1">
      <c r="A30" s="10"/>
    </row>
    <row r="31" spans="1:1">
      <c r="A31" s="10"/>
    </row>
    <row r="32" spans="1:1">
      <c r="A32" s="10"/>
    </row>
    <row r="33" spans="1:1">
      <c r="A33" s="10"/>
    </row>
    <row r="34" spans="1:1">
      <c r="A34" s="10"/>
    </row>
    <row r="35" spans="1:1">
      <c r="A35" s="10"/>
    </row>
    <row r="36" spans="1:1">
      <c r="A36" s="10"/>
    </row>
    <row r="37" spans="1:1">
      <c r="A37" s="10"/>
    </row>
    <row r="38" spans="1:1">
      <c r="A38" s="10"/>
    </row>
    <row r="39" spans="1:1">
      <c r="A39" s="10"/>
    </row>
    <row r="40" spans="1:1">
      <c r="A40" s="10"/>
    </row>
    <row r="41" spans="1:1">
      <c r="A41" s="10"/>
    </row>
    <row r="42" spans="1:1">
      <c r="A42" s="10"/>
    </row>
    <row r="43" spans="1:1">
      <c r="A43" s="10"/>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278940BC40F58749BD4F7FB310CA1D19" ma:contentTypeVersion="4" ma:contentTypeDescription="新しいドキュメントを作成します。" ma:contentTypeScope="" ma:versionID="918200b7d812e676288fb5c97598c83d">
  <xsd:schema xmlns:xsd="http://www.w3.org/2001/XMLSchema" xmlns:xs="http://www.w3.org/2001/XMLSchema" xmlns:p="http://schemas.microsoft.com/office/2006/metadata/properties" xmlns:ns2="e4327f46-18d0-4e50-b388-6a9ef16115a3" targetNamespace="http://schemas.microsoft.com/office/2006/metadata/properties" ma:root="true" ma:fieldsID="8fa0932bebac748dc1ff0b16357b8ed7" ns2:_="">
    <xsd:import namespace="e4327f46-18d0-4e50-b388-6a9ef16115a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327f46-18d0-4e50-b388-6a9ef1611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5302A7-6987-4957-AFCA-039D13223001}">
  <ds:schemaRefs>
    <ds:schemaRef ds:uri="http://schemas.microsoft.com/sharepoint/v3/contenttype/forms"/>
  </ds:schemaRefs>
</ds:datastoreItem>
</file>

<file path=customXml/itemProps2.xml><?xml version="1.0" encoding="utf-8"?>
<ds:datastoreItem xmlns:ds="http://schemas.openxmlformats.org/officeDocument/2006/customXml" ds:itemID="{E2BE8AD8-34CB-4B09-A82A-3C2224A7B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327f46-18d0-4e50-b388-6a9ef16115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Setting</vt:lpstr>
      <vt:lpstr>ProgressTable</vt:lpstr>
      <vt:lpstr>Hel_SpecSheet</vt:lpstr>
      <vt:lpstr>HelmetCollection</vt:lpstr>
      <vt:lpstr>製造依頼</vt:lpstr>
      <vt:lpstr>スペック記入依頼</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山中　亮司</dc:creator>
  <cp:lastModifiedBy>山中　亮司</cp:lastModifiedBy>
  <cp:lastPrinted>2024-10-30T00:33:58Z</cp:lastPrinted>
  <dcterms:created xsi:type="dcterms:W3CDTF">2024-02-15T23:59:58Z</dcterms:created>
  <dcterms:modified xsi:type="dcterms:W3CDTF">2024-11-01T00:28:25Z</dcterms:modified>
</cp:coreProperties>
</file>