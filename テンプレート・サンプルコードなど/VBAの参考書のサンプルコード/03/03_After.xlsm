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"/>
    </mc:Choice>
  </mc:AlternateContent>
  <bookViews>
    <workbookView xWindow="0" yWindow="0" windowWidth="15720" windowHeight="8295" activeTab="2"/>
  </bookViews>
  <sheets>
    <sheet name="納品書 (3)" sheetId="4" r:id="rId1"/>
    <sheet name="納品書 (2)" sheetId="3" r:id="rId2"/>
    <sheet name="納品書" sheetId="1" r:id="rId3"/>
    <sheet name="商品一覧" sheetId="2" r:id="rId4"/>
  </sheets>
  <definedNames>
    <definedName name="価格表">商品一覧!$B$4:$C$10</definedName>
    <definedName name="商品名">商品一覧!$B$4:$B$10</definedName>
  </definedNames>
  <calcPr calcId="152511" calcOnSave="0"/>
</workbook>
</file>

<file path=xl/calcChain.xml><?xml version="1.0" encoding="utf-8"?>
<calcChain xmlns="http://schemas.openxmlformats.org/spreadsheetml/2006/main">
  <c r="F13" i="4" l="1"/>
  <c r="D13" i="4"/>
  <c r="F12" i="4"/>
  <c r="D12" i="4"/>
  <c r="D11" i="4"/>
  <c r="F11" i="4" s="1"/>
  <c r="D10" i="4"/>
  <c r="F10" i="4" s="1"/>
  <c r="D9" i="4"/>
  <c r="F9" i="4" s="1"/>
  <c r="F13" i="3"/>
  <c r="D13" i="3"/>
  <c r="F12" i="3"/>
  <c r="D12" i="3"/>
  <c r="F11" i="3"/>
  <c r="D11" i="3"/>
  <c r="F10" i="3"/>
  <c r="D10" i="3"/>
  <c r="F9" i="3"/>
  <c r="E14" i="3" s="1"/>
  <c r="E16" i="3" s="1"/>
  <c r="D9" i="3"/>
  <c r="E14" i="4" l="1"/>
  <c r="E16" i="4" s="1"/>
  <c r="F12" i="1"/>
  <c r="F13" i="1"/>
  <c r="D10" i="1"/>
  <c r="F10" i="1" s="1"/>
  <c r="D11" i="1"/>
  <c r="F11" i="1" s="1"/>
  <c r="D12" i="1"/>
  <c r="D13" i="1"/>
  <c r="D9" i="1"/>
  <c r="F9" i="1" s="1"/>
  <c r="E14" i="1" l="1"/>
  <c r="E16" i="1" s="1"/>
</calcChain>
</file>

<file path=xl/sharedStrings.xml><?xml version="1.0" encoding="utf-8"?>
<sst xmlns="http://schemas.openxmlformats.org/spreadsheetml/2006/main" count="56" uniqueCount="25">
  <si>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</si>
  <si>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</si>
  <si>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</si>
  <si>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</si>
  <si>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</si>
  <si>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</si>
  <si>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</si>
  <si>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</si>
  <si>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</si>
  <si>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</si>
  <si>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</si>
  <si>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</si>
  <si>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</si>
  <si>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</si>
  <si>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</si>
  <si>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</si>
  <si>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</si>
  <si>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</si>
  <si>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</si>
  <si>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</si>
  <si>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</si>
  <si>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</si>
  <si>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参画商事株式会社</t>
    <rPh sb="0" eb="2">
      <t>サンカク</t>
    </rPh>
    <rPh sb="2" eb="4">
      <t>ショウジ</t>
    </rPh>
    <rPh sb="4" eb="6">
      <t>カブシキ</t>
    </rPh>
    <rPh sb="6" eb="8">
      <t>カイシャ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</si>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</sst>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3" xfId="0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16"/>
  <sheetViews>
    <sheetView workbookViewId="0"/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/>
      <c r="E2" s="29"/>
      <c r="F2" s="30"/>
    </row>
    <row r="3" spans="2:6" ht="6" customHeight="1" thickBot="1" x14ac:dyDescent="0.2">
      <c r="E3" s="22"/>
      <c r="F3" s="23"/>
    </row>
    <row r="4" spans="2:6" ht="18" thickBot="1" x14ac:dyDescent="0.2">
      <c r="B4" s="31" t="s">
        <v>18</v>
      </c>
      <c r="C4" s="32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3"/>
      <c r="C6" s="33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24">
        <v>1</v>
      </c>
      <c r="C9" s="2"/>
      <c r="D9" s="3" t="str">
        <f>IF(C9="","",VLOOKUP(C9,価格表,2,0))</f>
        <v/>
      </c>
      <c r="E9" s="3"/>
      <c r="F9" s="18" t="str">
        <f>IF(E9="","",D9*E9)</f>
        <v/>
      </c>
    </row>
    <row r="10" spans="2:6" x14ac:dyDescent="0.15">
      <c r="B10" s="24">
        <v>2</v>
      </c>
      <c r="C10" s="2"/>
      <c r="D10" s="3" t="str">
        <f>IF(C10="","",VLOOKUP(C10,価格表,2,0))</f>
        <v/>
      </c>
      <c r="E10" s="3"/>
      <c r="F10" s="18" t="str">
        <f t="shared" ref="F10:F13" si="0">IF(E10="","",D10*E10)</f>
        <v/>
      </c>
    </row>
    <row r="11" spans="2:6" x14ac:dyDescent="0.15">
      <c r="B11" s="24">
        <v>3</v>
      </c>
      <c r="C11" s="2"/>
      <c r="D11" s="3" t="str">
        <f>IF(C11="","",VLOOKUP(C11,価格表,2,0))</f>
        <v/>
      </c>
      <c r="E11" s="3"/>
      <c r="F11" s="18" t="str">
        <f t="shared" si="0"/>
        <v/>
      </c>
    </row>
    <row r="12" spans="2:6" x14ac:dyDescent="0.15">
      <c r="B12" s="24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34" t="s">
        <v>21</v>
      </c>
      <c r="C14" s="35"/>
      <c r="D14" s="35"/>
      <c r="E14" s="36">
        <f>SUM(F9:F13)</f>
        <v>0</v>
      </c>
      <c r="F14" s="37"/>
    </row>
    <row r="15" spans="2:6" x14ac:dyDescent="0.15">
      <c r="B15" s="38" t="s">
        <v>19</v>
      </c>
      <c r="C15" s="39"/>
      <c r="D15" s="39"/>
      <c r="E15" s="40">
        <v>3500</v>
      </c>
      <c r="F15" s="41"/>
    </row>
    <row r="16" spans="2:6" ht="14.25" thickBot="1" x14ac:dyDescent="0.2">
      <c r="B16" s="25" t="s">
        <v>20</v>
      </c>
      <c r="C16" s="26"/>
      <c r="D16" s="26"/>
      <c r="E16" s="27">
        <f>SUM(E14:F15)</f>
        <v>3500</v>
      </c>
      <c r="F16" s="28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6"/>
  <sheetViews>
    <sheetView workbookViewId="0">
      <selection activeCell="C2" sqref="C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/>
      <c r="E2" s="29"/>
      <c r="F2" s="30"/>
    </row>
    <row r="3" spans="2:6" ht="6" customHeight="1" thickBot="1" x14ac:dyDescent="0.2">
      <c r="E3" s="22"/>
      <c r="F3" s="23"/>
    </row>
    <row r="4" spans="2:6" ht="18" thickBot="1" x14ac:dyDescent="0.2">
      <c r="B4" s="31" t="s">
        <v>18</v>
      </c>
      <c r="C4" s="32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3"/>
      <c r="C6" s="33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24">
        <v>1</v>
      </c>
      <c r="C9" s="2"/>
      <c r="D9" s="3" t="str">
        <f>IF(C9="","",VLOOKUP(C9,価格表,2,0))</f>
        <v/>
      </c>
      <c r="E9" s="3"/>
      <c r="F9" s="18" t="str">
        <f>IF(E9="","",D9*E9)</f>
        <v/>
      </c>
    </row>
    <row r="10" spans="2:6" x14ac:dyDescent="0.15">
      <c r="B10" s="24">
        <v>2</v>
      </c>
      <c r="C10" s="2"/>
      <c r="D10" s="3" t="str">
        <f>IF(C10="","",VLOOKUP(C10,価格表,2,0))</f>
        <v/>
      </c>
      <c r="E10" s="3"/>
      <c r="F10" s="18" t="str">
        <f t="shared" ref="F10:F13" si="0">IF(E10="","",D10*E10)</f>
        <v/>
      </c>
    </row>
    <row r="11" spans="2:6" x14ac:dyDescent="0.15">
      <c r="B11" s="24">
        <v>3</v>
      </c>
      <c r="C11" s="2"/>
      <c r="D11" s="3" t="str">
        <f>IF(C11="","",VLOOKUP(C11,価格表,2,0))</f>
        <v/>
      </c>
      <c r="E11" s="3"/>
      <c r="F11" s="18" t="str">
        <f t="shared" si="0"/>
        <v/>
      </c>
    </row>
    <row r="12" spans="2:6" x14ac:dyDescent="0.15">
      <c r="B12" s="24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34" t="s">
        <v>21</v>
      </c>
      <c r="C14" s="35"/>
      <c r="D14" s="35"/>
      <c r="E14" s="36">
        <f>SUM(F9:F13)</f>
        <v>0</v>
      </c>
      <c r="F14" s="37"/>
    </row>
    <row r="15" spans="2:6" x14ac:dyDescent="0.15">
      <c r="B15" s="38" t="s">
        <v>19</v>
      </c>
      <c r="C15" s="39"/>
      <c r="D15" s="39"/>
      <c r="E15" s="40">
        <v>3500</v>
      </c>
      <c r="F15" s="41"/>
    </row>
    <row r="16" spans="2:6" ht="14.25" thickBot="1" x14ac:dyDescent="0.2">
      <c r="B16" s="25" t="s">
        <v>20</v>
      </c>
      <c r="C16" s="26"/>
      <c r="D16" s="26"/>
      <c r="E16" s="27">
        <f>SUM(E14:F15)</f>
        <v>3500</v>
      </c>
      <c r="F16" s="28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6"/>
  <sheetViews>
    <sheetView tabSelected="1" workbookViewId="0">
      <selection activeCell="C2" sqref="C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>
        <v>110401001</v>
      </c>
      <c r="E2" s="29">
        <v>40634</v>
      </c>
      <c r="F2" s="30"/>
    </row>
    <row r="3" spans="2:6" ht="6" customHeight="1" thickBot="1" x14ac:dyDescent="0.2">
      <c r="E3" s="10"/>
      <c r="F3" s="6"/>
    </row>
    <row r="4" spans="2:6" ht="18" thickBot="1" x14ac:dyDescent="0.2">
      <c r="B4" s="31" t="s">
        <v>18</v>
      </c>
      <c r="C4" s="32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3" t="s">
        <v>22</v>
      </c>
      <c r="C6" s="33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15">
        <v>1</v>
      </c>
      <c r="C9" s="2" t="s">
        <v>0</v>
      </c>
      <c r="D9" s="3">
        <f>IF(C9="","",VLOOKUP(C9,価格表,2,0))</f>
        <v>26250</v>
      </c>
      <c r="E9" s="3">
        <v>2</v>
      </c>
      <c r="F9" s="18">
        <f>IF(E9="","",D9*E9)</f>
        <v>52500</v>
      </c>
    </row>
    <row r="10" spans="2:6" x14ac:dyDescent="0.15">
      <c r="B10" s="15">
        <v>2</v>
      </c>
      <c r="C10" s="2" t="s">
        <v>3</v>
      </c>
      <c r="D10" s="3">
        <f>IF(C10="","",VLOOKUP(C10,価格表,2,0))</f>
        <v>18900</v>
      </c>
      <c r="E10" s="3">
        <v>1</v>
      </c>
      <c r="F10" s="18">
        <f t="shared" ref="F10:F13" si="0">IF(E10="","",D10*E10)</f>
        <v>18900</v>
      </c>
    </row>
    <row r="11" spans="2:6" x14ac:dyDescent="0.15">
      <c r="B11" s="15">
        <v>3</v>
      </c>
      <c r="C11" s="2" t="s">
        <v>8</v>
      </c>
      <c r="D11" s="3">
        <f>IF(C11="","",VLOOKUP(C11,価格表,2,0))</f>
        <v>9800</v>
      </c>
      <c r="E11" s="3">
        <v>2</v>
      </c>
      <c r="F11" s="18">
        <f t="shared" si="0"/>
        <v>19600</v>
      </c>
    </row>
    <row r="12" spans="2:6" x14ac:dyDescent="0.15">
      <c r="B12" s="15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34" t="s">
        <v>21</v>
      </c>
      <c r="C14" s="35"/>
      <c r="D14" s="35"/>
      <c r="E14" s="36">
        <f>SUM(F9:F13)</f>
        <v>91000</v>
      </c>
      <c r="F14" s="37"/>
    </row>
    <row r="15" spans="2:6" x14ac:dyDescent="0.15">
      <c r="B15" s="38" t="s">
        <v>19</v>
      </c>
      <c r="C15" s="39"/>
      <c r="D15" s="39"/>
      <c r="E15" s="40">
        <v>3500</v>
      </c>
      <c r="F15" s="41"/>
    </row>
    <row r="16" spans="2:6" ht="14.25" thickBot="1" x14ac:dyDescent="0.2">
      <c r="B16" s="25" t="s">
        <v>20</v>
      </c>
      <c r="C16" s="26"/>
      <c r="D16" s="26"/>
      <c r="E16" s="27">
        <f>SUM(E14:F15)</f>
        <v>94500</v>
      </c>
      <c r="F16" s="28"/>
    </row>
  </sheetData>
  <mergeCells count="9">
    <mergeCell ref="E2:F2"/>
    <mergeCell ref="B14:D14"/>
    <mergeCell ref="B15:D15"/>
    <mergeCell ref="B16:D16"/>
    <mergeCell ref="E14:F14"/>
    <mergeCell ref="E15:F15"/>
    <mergeCell ref="E16:F16"/>
    <mergeCell ref="B4:C4"/>
    <mergeCell ref="B6:C6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10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9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納品書 (3)</vt:lpstr>
      <vt:lpstr>納品書 (2)</vt:lpstr>
      <vt:lpstr>納品書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dcterms:created xsi:type="dcterms:W3CDTF">2011-01-28T18:58:04Z</dcterms:created>
  <dcterms:modified xsi:type="dcterms:W3CDTF">2013-04-08T08:35:41Z</dcterms:modified>
</cp:coreProperties>
</file>