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13\"/>
    </mc:Choice>
  </mc:AlternateContent>
  <bookViews>
    <workbookView xWindow="0" yWindow="0" windowWidth="15720" windowHeight="8295"/>
  </bookViews>
  <sheets>
    <sheet name="10003" sheetId="6" r:id="rId1"/>
    <sheet name="10002" sheetId="5" r:id="rId2"/>
    <sheet name="10001" sheetId="4" r:id="rId3"/>
    <sheet name="マスター" sheetId="3" state="hidden" r:id="rId4"/>
    <sheet name="商品一覧" sheetId="2" r:id="rId5"/>
  </sheets>
  <definedNames>
    <definedName name="価格表">商品一覧!$B$4:$C$10</definedName>
    <definedName name="商品名">商品一覧!$B$4:$B$10</definedName>
  </definedNames>
  <calcPr calcId="152511"/>
</workbook>
</file>

<file path=xl/calcChain.xml><?xml version="1.0" encoding="utf-8"?>
<calcChain xmlns="http://schemas.openxmlformats.org/spreadsheetml/2006/main">
  <c r="F13" i="6" l="1"/>
  <c r="D13" i="6"/>
  <c r="F12" i="6"/>
  <c r="D12" i="6"/>
  <c r="F11" i="6"/>
  <c r="D11" i="6"/>
  <c r="F10" i="6"/>
  <c r="D10" i="6"/>
  <c r="D9" i="6"/>
  <c r="F9" i="6" s="1"/>
  <c r="F13" i="5"/>
  <c r="D13" i="5"/>
  <c r="F12" i="5"/>
  <c r="D12" i="5"/>
  <c r="F11" i="5"/>
  <c r="D11" i="5"/>
  <c r="F10" i="5"/>
  <c r="D10" i="5"/>
  <c r="D9" i="5"/>
  <c r="F9" i="5" s="1"/>
  <c r="E14" i="5" s="1"/>
  <c r="E16" i="5" s="1"/>
  <c r="F13" i="4"/>
  <c r="D13" i="4"/>
  <c r="F12" i="4"/>
  <c r="D12" i="4"/>
  <c r="F11" i="4"/>
  <c r="D11" i="4"/>
  <c r="D10" i="4"/>
  <c r="F10" i="4" s="1"/>
  <c r="D9" i="4"/>
  <c r="F9" i="4" s="1"/>
  <c r="E14" i="4" l="1"/>
  <c r="E16" i="4" s="1"/>
  <c r="E14" i="6"/>
  <c r="E16" i="6" s="1"/>
  <c r="F13" i="3"/>
  <c r="D13" i="3"/>
  <c r="F12" i="3"/>
  <c r="D12" i="3"/>
  <c r="F11" i="3"/>
  <c r="D11" i="3"/>
  <c r="F10" i="3"/>
  <c r="D10" i="3"/>
  <c r="F9" i="3"/>
  <c r="D9" i="3"/>
  <c r="E14" i="3" l="1"/>
  <c r="E16" i="3" s="1"/>
</calcChain>
</file>

<file path=xl/sharedStrings.xml><?xml version="1.0" encoding="utf-8"?>
<sst xmlns="http://schemas.openxmlformats.org/spreadsheetml/2006/main" count="76" uniqueCount="29">
  <si>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</si>
  <si>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</si>
  <si>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</si>
  <si>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</si>
  <si>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</si>
  <si>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</si>
  <si>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</si>
  <si>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</si>
  <si>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</si>
  <si>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</si>
  <si>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</si>
  <si>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</si>
  <si>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</si>
  <si>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</si>
  <si>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</si>
  <si>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</si>
  <si>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</si>
  <si>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</si>
  <si>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</si>
  <si>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</si>
  <si>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</si>
  <si>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</si>
  <si>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</si>
  <si>
    <t>OAチェア</t>
  </si>
  <si>
    <t>ドクターズチェア</t>
  </si>
  <si>
    <t>デザイナーズデスク</t>
  </si>
  <si>
    <t>互角商事株式会社</t>
    <rPh sb="0" eb="2">
      <t>ゴカク</t>
    </rPh>
    <rPh sb="2" eb="4">
      <t>ショウジ</t>
    </rPh>
    <rPh sb="4" eb="6">
      <t>カブシキ</t>
    </rPh>
    <rPh sb="6" eb="8">
      <t>カイシャ</t>
    </rPh>
    <phoneticPr fontId="2"/>
  </si>
  <si>
    <t>株式会社参画広告</t>
    <rPh sb="0" eb="2">
      <t>カブシキ</t>
    </rPh>
    <rPh sb="2" eb="4">
      <t>カイシャ</t>
    </rPh>
    <rPh sb="4" eb="6">
      <t>サンカク</t>
    </rPh>
    <rPh sb="6" eb="8">
      <t>コウコク</t>
    </rPh>
    <phoneticPr fontId="2"/>
  </si>
  <si>
    <t>資格通信株式会社</t>
    <rPh sb="0" eb="2">
      <t>シカク</t>
    </rPh>
    <rPh sb="2" eb="4">
      <t>ツウシン</t>
    </rPh>
    <rPh sb="4" eb="6">
      <t>カブシキ</t>
    </rPh>
    <rPh sb="6" eb="8">
      <t>カイシャ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</si>
</sst>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8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0" fillId="0" borderId="2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  <xf numFmtId="38" fontId="0" fillId="0" borderId="3" xfId="1" applyFont="1" applyBorder="1" applyProtection="1">
      <alignment vertical="center"/>
      <protection locked="0"/>
    </xf>
    <xf numFmtId="0" fontId="0" fillId="0" borderId="2" xfId="0" applyBorder="1" applyAlignment="1" applyProtection="1">
      <alignment horizontal="left" vertical="center" indent="1"/>
      <protection locked="0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31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 applyProtection="1">
      <alignment horizontal="center" vertical="center"/>
      <protection locked="0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7169" name="ボタン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6145" name="ボタン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5121" name="ボタン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6"/>
  <sheetViews>
    <sheetView tabSelected="1" workbookViewId="0"/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>
        <v>10003</v>
      </c>
      <c r="E2" s="30">
        <v>41284</v>
      </c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 t="s">
        <v>26</v>
      </c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9">
        <v>1</v>
      </c>
      <c r="C9" s="21" t="s">
        <v>25</v>
      </c>
      <c r="D9" s="3">
        <f>IF(C9="","",VLOOKUP(C9,価格表,2,0))</f>
        <v>52500</v>
      </c>
      <c r="E9" s="23">
        <v>1</v>
      </c>
      <c r="F9" s="12">
        <f>IF(E9="","",D9*E9)</f>
        <v>52500</v>
      </c>
    </row>
    <row r="10" spans="2:6" x14ac:dyDescent="0.15">
      <c r="B10" s="19">
        <v>2</v>
      </c>
      <c r="C10" s="21" t="s">
        <v>1</v>
      </c>
      <c r="D10" s="3">
        <f>IF(C10="","",VLOOKUP(C10,価格表,2,0))</f>
        <v>44100</v>
      </c>
      <c r="E10" s="23">
        <v>2</v>
      </c>
      <c r="F10" s="12">
        <f t="shared" ref="F10:F13" si="0">IF(E10="","",D10*E10)</f>
        <v>88200</v>
      </c>
    </row>
    <row r="11" spans="2:6" x14ac:dyDescent="0.15">
      <c r="B11" s="19">
        <v>3</v>
      </c>
      <c r="C11" s="21" t="s">
        <v>23</v>
      </c>
      <c r="D11" s="3">
        <f>IF(C11="","",VLOOKUP(C11,価格表,2,0))</f>
        <v>9800</v>
      </c>
      <c r="E11" s="23">
        <v>2</v>
      </c>
      <c r="F11" s="12">
        <f t="shared" si="0"/>
        <v>19600</v>
      </c>
    </row>
    <row r="12" spans="2:6" x14ac:dyDescent="0.15">
      <c r="B12" s="19">
        <v>4</v>
      </c>
      <c r="C12" s="21" t="s">
        <v>24</v>
      </c>
      <c r="D12" s="3">
        <f>IF(C12="","",VLOOKUP(C12,価格表,2,0))</f>
        <v>49800</v>
      </c>
      <c r="E12" s="23">
        <v>1</v>
      </c>
      <c r="F12" s="12">
        <f t="shared" si="0"/>
        <v>49800</v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210100</v>
      </c>
      <c r="F14" s="38"/>
    </row>
    <row r="15" spans="2:6" x14ac:dyDescent="0.15">
      <c r="B15" s="39" t="s">
        <v>18</v>
      </c>
      <c r="C15" s="40"/>
      <c r="D15" s="40"/>
      <c r="E15" s="41">
        <v>0</v>
      </c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210100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&amp;R印刷日:平成23年2月10日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F16"/>
  <sheetViews>
    <sheetView workbookViewId="0"/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>
        <v>10002</v>
      </c>
      <c r="E2" s="30">
        <v>41282</v>
      </c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 t="s">
        <v>27</v>
      </c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9">
        <v>1</v>
      </c>
      <c r="C9" s="21" t="s">
        <v>3</v>
      </c>
      <c r="D9" s="3">
        <f>IF(C9="","",VLOOKUP(C9,価格表,2,0))</f>
        <v>18900</v>
      </c>
      <c r="E9" s="23">
        <v>1</v>
      </c>
      <c r="F9" s="12">
        <f>IF(E9="","",D9*E9)</f>
        <v>18900</v>
      </c>
    </row>
    <row r="10" spans="2:6" x14ac:dyDescent="0.15">
      <c r="B10" s="19">
        <v>2</v>
      </c>
      <c r="C10" s="21"/>
      <c r="D10" s="3" t="str">
        <f>IF(C10="","",VLOOKUP(C10,価格表,2,0))</f>
        <v/>
      </c>
      <c r="E10" s="23"/>
      <c r="F10" s="12" t="str">
        <f t="shared" ref="F10:F13" si="0">IF(E10="","",D10*E10)</f>
        <v/>
      </c>
    </row>
    <row r="11" spans="2:6" x14ac:dyDescent="0.15">
      <c r="B11" s="19">
        <v>3</v>
      </c>
      <c r="C11" s="21"/>
      <c r="D11" s="3" t="str">
        <f>IF(C11="","",VLOOKUP(C11,価格表,2,0))</f>
        <v/>
      </c>
      <c r="E11" s="23"/>
      <c r="F11" s="12" t="str">
        <f t="shared" si="0"/>
        <v/>
      </c>
    </row>
    <row r="12" spans="2:6" x14ac:dyDescent="0.15">
      <c r="B12" s="19">
        <v>4</v>
      </c>
      <c r="C12" s="21"/>
      <c r="D12" s="3" t="str">
        <f>IF(C12="","",VLOOKUP(C12,価格表,2,0))</f>
        <v/>
      </c>
      <c r="E12" s="23"/>
      <c r="F12" s="12" t="str">
        <f t="shared" si="0"/>
        <v/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18900</v>
      </c>
      <c r="F14" s="38"/>
    </row>
    <row r="15" spans="2:6" x14ac:dyDescent="0.15">
      <c r="B15" s="39" t="s">
        <v>18</v>
      </c>
      <c r="C15" s="40"/>
      <c r="D15" s="40"/>
      <c r="E15" s="41">
        <v>3500</v>
      </c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22400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&amp;R印刷日:平成23年2月10日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6"/>
  <sheetViews>
    <sheetView workbookViewId="0"/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>
        <v>10001</v>
      </c>
      <c r="E2" s="30">
        <v>41282</v>
      </c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 t="s">
        <v>28</v>
      </c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9">
        <v>1</v>
      </c>
      <c r="C9" s="21" t="s">
        <v>0</v>
      </c>
      <c r="D9" s="3">
        <f>IF(C9="","",VLOOKUP(C9,価格表,2,0))</f>
        <v>26250</v>
      </c>
      <c r="E9" s="23">
        <v>5</v>
      </c>
      <c r="F9" s="12">
        <f>IF(E9="","",D9*E9)</f>
        <v>131250</v>
      </c>
    </row>
    <row r="10" spans="2:6" x14ac:dyDescent="0.15">
      <c r="B10" s="19">
        <v>2</v>
      </c>
      <c r="C10" s="21" t="s">
        <v>23</v>
      </c>
      <c r="D10" s="3">
        <f>IF(C10="","",VLOOKUP(C10,価格表,2,0))</f>
        <v>9800</v>
      </c>
      <c r="E10" s="23">
        <v>5</v>
      </c>
      <c r="F10" s="12">
        <f t="shared" ref="F10:F13" si="0">IF(E10="","",D10*E10)</f>
        <v>49000</v>
      </c>
    </row>
    <row r="11" spans="2:6" x14ac:dyDescent="0.15">
      <c r="B11" s="19">
        <v>3</v>
      </c>
      <c r="C11" s="21"/>
      <c r="D11" s="3" t="str">
        <f>IF(C11="","",VLOOKUP(C11,価格表,2,0))</f>
        <v/>
      </c>
      <c r="E11" s="23"/>
      <c r="F11" s="12" t="str">
        <f t="shared" si="0"/>
        <v/>
      </c>
    </row>
    <row r="12" spans="2:6" x14ac:dyDescent="0.15">
      <c r="B12" s="19">
        <v>4</v>
      </c>
      <c r="C12" s="21"/>
      <c r="D12" s="3" t="str">
        <f>IF(C12="","",VLOOKUP(C12,価格表,2,0))</f>
        <v/>
      </c>
      <c r="E12" s="23"/>
      <c r="F12" s="12" t="str">
        <f t="shared" si="0"/>
        <v/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180250</v>
      </c>
      <c r="F14" s="38"/>
    </row>
    <row r="15" spans="2:6" x14ac:dyDescent="0.15">
      <c r="B15" s="39" t="s">
        <v>18</v>
      </c>
      <c r="C15" s="40"/>
      <c r="D15" s="40"/>
      <c r="E15" s="41">
        <v>0</v>
      </c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180250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&amp;R印刷日:平成23年2月10日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F16"/>
  <sheetViews>
    <sheetView workbookViewId="0">
      <selection activeCell="C2" sqref="C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/>
      <c r="E2" s="30"/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/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8">
        <v>1</v>
      </c>
      <c r="C9" s="21"/>
      <c r="D9" s="3" t="str">
        <f>IF(C9="","",VLOOKUP(C9,価格表,2,0))</f>
        <v/>
      </c>
      <c r="E9" s="23"/>
      <c r="F9" s="12" t="str">
        <f>IF(E9="","",D9*E9)</f>
        <v/>
      </c>
    </row>
    <row r="10" spans="2:6" x14ac:dyDescent="0.15">
      <c r="B10" s="18">
        <v>2</v>
      </c>
      <c r="C10" s="21"/>
      <c r="D10" s="3" t="str">
        <f>IF(C10="","",VLOOKUP(C10,価格表,2,0))</f>
        <v/>
      </c>
      <c r="E10" s="23"/>
      <c r="F10" s="12" t="str">
        <f t="shared" ref="F10:F13" si="0">IF(E10="","",D10*E10)</f>
        <v/>
      </c>
    </row>
    <row r="11" spans="2:6" x14ac:dyDescent="0.15">
      <c r="B11" s="18">
        <v>3</v>
      </c>
      <c r="C11" s="21"/>
      <c r="D11" s="3" t="str">
        <f>IF(C11="","",VLOOKUP(C11,価格表,2,0))</f>
        <v/>
      </c>
      <c r="E11" s="23"/>
      <c r="F11" s="12" t="str">
        <f t="shared" si="0"/>
        <v/>
      </c>
    </row>
    <row r="12" spans="2:6" x14ac:dyDescent="0.15">
      <c r="B12" s="18">
        <v>4</v>
      </c>
      <c r="C12" s="21"/>
      <c r="D12" s="3" t="str">
        <f>IF(C12="","",VLOOKUP(C12,価格表,2,0))</f>
        <v/>
      </c>
      <c r="E12" s="23"/>
      <c r="F12" s="12" t="str">
        <f t="shared" si="0"/>
        <v/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0</v>
      </c>
      <c r="F14" s="38"/>
    </row>
    <row r="15" spans="2:6" x14ac:dyDescent="0.15">
      <c r="B15" s="39" t="s">
        <v>18</v>
      </c>
      <c r="C15" s="40"/>
      <c r="D15" s="40"/>
      <c r="E15" s="41"/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D6">
      <formula1>"御中,様"</formula1>
    </dataValidation>
    <dataValidation type="list" allowBlank="1" showInputMessage="1" showErrorMessage="1" sqref="C9:C13">
      <formula1>商品名</formula1>
    </dataValidation>
  </dataValidations>
  <pageMargins left="0.7" right="0.7" top="0.75" bottom="0.75" header="0.3" footer="0.3"/>
  <pageSetup paperSize="9" orientation="portrait" r:id="rId1"/>
  <headerFooter>
    <oddFooter>&amp;R印刷日:平成23年2月10日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9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8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10003</vt:lpstr>
      <vt:lpstr>10002</vt:lpstr>
      <vt:lpstr>10001</vt:lpstr>
      <vt:lpstr>マスター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shoeisha</cp:lastModifiedBy>
  <cp:lastPrinted>2011-02-10T02:40:34Z</cp:lastPrinted>
  <dcterms:created xsi:type="dcterms:W3CDTF">2011-01-28T18:58:04Z</dcterms:created>
  <dcterms:modified xsi:type="dcterms:W3CDTF">2013-04-09T02:39:31Z</dcterms:modified>
</cp:coreProperties>
</file>