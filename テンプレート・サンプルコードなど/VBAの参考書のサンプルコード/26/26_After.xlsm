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26\"/>
    </mc:Choice>
  </mc:AlternateContent>
  <bookViews>
    <workbookView xWindow="120" yWindow="90" windowWidth="11715" windowHeight="6645"/>
  </bookViews>
  <sheets>
    <sheet name="サンプル" sheetId="4" r:id="rId1"/>
  </sheets>
  <calcPr calcId="152511"/>
</workbook>
</file>

<file path=xl/calcChain.xml><?xml version="1.0" encoding="utf-8"?>
<calcChain xmlns="http://schemas.openxmlformats.org/spreadsheetml/2006/main">
  <c r="F3" i="4" l="1"/>
  <c r="I3" i="4" s="1"/>
  <c r="N3" i="4" s="1"/>
  <c r="S3" i="4" s="1"/>
  <c r="X3" i="4" s="1"/>
  <c r="AC3" i="4" s="1"/>
  <c r="AH3" i="4" l="1"/>
  <c r="D5" i="4"/>
  <c r="D6" i="4" s="1"/>
  <c r="D7" i="4" s="1"/>
  <c r="D8" i="4" l="1"/>
  <c r="D9" i="4" s="1"/>
  <c r="D12" i="4" s="1"/>
  <c r="D10" i="4"/>
  <c r="D11" i="4" s="1"/>
  <c r="D13" i="4" l="1"/>
  <c r="D14" i="4" s="1"/>
  <c r="D15" i="4" s="1"/>
  <c r="D16" i="4" s="1"/>
  <c r="D17" i="4" s="1"/>
</calcChain>
</file>

<file path=xl/sharedStrings.xml><?xml version="1.0" encoding="utf-8"?>
<sst xmlns="http://schemas.openxmlformats.org/spreadsheetml/2006/main" count="19" uniqueCount="15">
  <si>
    <t>開始日</t>
    <rPh sb="0" eb="3">
      <t>カイシビ</t>
    </rPh>
    <phoneticPr fontId="1"/>
  </si>
  <si>
    <t>日数</t>
    <rPh sb="0" eb="2">
      <t>ニッスウ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</si>
  <si>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</si>
  <si>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</si>
  <si>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仕様書作成</t>
    <rPh sb="0" eb="3">
      <t>シヨウショ</t>
    </rPh>
    <rPh sb="3" eb="5">
      <t>サクセイ</t>
    </rPh>
    <phoneticPr fontId="1"/>
  </si>
  <si>
    <t>インターフェース設計</t>
    <rPh sb="8" eb="10">
      <t>セッケイ</t>
    </rPh>
    <phoneticPr fontId="1"/>
  </si>
  <si>
    <t>浅香</t>
    <rPh sb="0" eb="2">
      <t>アサカ</t>
    </rPh>
    <phoneticPr fontId="1"/>
  </si>
  <si>
    <t>中村</t>
    <rPh sb="0" eb="2">
      <t>ナカムラ</t>
    </rPh>
    <phoneticPr fontId="1"/>
  </si>
  <si>
    <t>マニュアル作成</t>
    <rPh sb="5" eb="7">
      <t>サクセイ</t>
    </rPh>
    <phoneticPr fontId="1"/>
  </si>
  <si>
    <t>セットアップ－納品</t>
    <rPh sb="7" eb="9">
      <t>ノウヒン</t>
    </rPh>
    <phoneticPr fontId="1"/>
  </si>
  <si>
    <t>最終調整</t>
    <rPh sb="0" eb="2">
      <t>サイシュウ</t>
    </rPh>
    <rPh sb="2" eb="4">
      <t>チョウセイ</t>
    </rPh>
    <phoneticPr fontId="1"/>
  </si>
  <si>
    <t>担当</t>
    <rPh sb="0" eb="2">
      <t>タントウ</t>
    </rPh>
    <phoneticPr fontId="1"/>
  </si>
  <si>
    <t>浅香、中村</t>
    <rPh sb="0" eb="2">
      <t>アサカ</t>
    </rPh>
    <rPh sb="3" eb="5">
      <t>ナカムラ</t>
    </rPh>
    <phoneticPr fontId="1"/>
  </si>
  <si>
    <t>プログラミング</t>
    <phoneticPr fontId="1"/>
  </si>
  <si>
    <t>デバッグ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</si>
</sst>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(aaa\)"/>
    <numFmt numFmtId="177" formatCode="d"/>
  </numFmts>
  <fonts count="3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176" fontId="0" fillId="0" borderId="3" xfId="0" applyNumberFormat="1" applyBorder="1" applyAlignment="1">
      <alignment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vertical="center" shrinkToFit="1"/>
      <protection locked="0"/>
    </xf>
    <xf numFmtId="0" fontId="0" fillId="0" borderId="3" xfId="0" applyBorder="1" applyAlignment="1" applyProtection="1">
      <alignment horizontal="right" vertical="center" shrinkToFit="1"/>
      <protection locked="0"/>
    </xf>
    <xf numFmtId="176" fontId="0" fillId="0" borderId="3" xfId="0" applyNumberFormat="1" applyBorder="1" applyAlignment="1" applyProtection="1">
      <alignment vertical="center" shrinkToFit="1"/>
    </xf>
    <xf numFmtId="176" fontId="0" fillId="0" borderId="2" xfId="0" applyNumberFormat="1" applyBorder="1" applyAlignment="1" applyProtection="1">
      <alignment vertical="center" shrinkToFit="1"/>
      <protection locked="0"/>
    </xf>
    <xf numFmtId="0" fontId="2" fillId="2" borderId="7" xfId="0" applyFont="1" applyFill="1" applyBorder="1">
      <alignment vertical="center"/>
    </xf>
    <xf numFmtId="177" fontId="2" fillId="2" borderId="7" xfId="0" applyNumberFormat="1" applyFont="1" applyFill="1" applyBorder="1" applyAlignment="1">
      <alignment vertical="center"/>
    </xf>
    <xf numFmtId="177" fontId="2" fillId="2" borderId="10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77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77" fontId="2" fillId="2" borderId="9" xfId="0" applyNumberFormat="1" applyFont="1" applyFill="1" applyBorder="1" applyAlignment="1">
      <alignment horizontal="left" vertical="center"/>
    </xf>
    <xf numFmtId="177" fontId="2" fillId="2" borderId="10" xfId="0" applyNumberFormat="1" applyFont="1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55" fontId="2" fillId="2" borderId="9" xfId="0" applyNumberFormat="1" applyFont="1" applyFill="1" applyBorder="1" applyAlignment="1" applyProtection="1">
      <alignment horizontal="center" vertical="center"/>
      <protection locked="0"/>
    </xf>
    <xf numFmtId="55" fontId="2" fillId="2" borderId="10" xfId="0" applyNumberFormat="1" applyFont="1" applyFill="1" applyBorder="1" applyAlignment="1" applyProtection="1">
      <alignment horizontal="center" vertical="center"/>
      <protection locked="0"/>
    </xf>
    <xf numFmtId="55" fontId="2" fillId="2" borderId="11" xfId="0" applyNumberFormat="1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shrinkToFit="1"/>
      <protection locked="0"/>
    </xf>
    <xf numFmtId="0" fontId="2" fillId="2" borderId="1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  <color theme="4"/>
      </font>
      <fill>
        <patternFill>
          <bgColor theme="4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47624</xdr:rowOff>
    </xdr:from>
    <xdr:to>
      <xdr:col>11</xdr:col>
      <xdr:colOff>0</xdr:colOff>
      <xdr:row>4</xdr:row>
      <xdr:rowOff>114300</xdr:rowOff>
    </xdr:to>
    <xdr:sp macro="" textlink="">
      <xdr:nvSpPr>
        <xdr:cNvPr id="3" name="右矢印 1"/>
        <xdr:cNvSpPr/>
      </xdr:nvSpPr>
      <xdr:spPr>
        <a:xfrm>
          <a:off x="3590925" y="561974"/>
          <a:ext cx="742950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10</xdr:col>
      <xdr:colOff>123824</xdr:colOff>
      <xdr:row>5</xdr:row>
      <xdr:rowOff>66675</xdr:rowOff>
    </xdr:from>
    <xdr:to>
      <xdr:col>16</xdr:col>
      <xdr:colOff>123824</xdr:colOff>
      <xdr:row>6</xdr:row>
      <xdr:rowOff>133351</xdr:rowOff>
    </xdr:to>
    <xdr:sp macro="" textlink="">
      <xdr:nvSpPr>
        <xdr:cNvPr id="5" name="右矢印 2"/>
        <xdr:cNvSpPr/>
      </xdr:nvSpPr>
      <xdr:spPr>
        <a:xfrm>
          <a:off x="4333874" y="923925"/>
          <a:ext cx="742950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17</xdr:col>
      <xdr:colOff>0</xdr:colOff>
      <xdr:row>7</xdr:row>
      <xdr:rowOff>57150</xdr:rowOff>
    </xdr:from>
    <xdr:to>
      <xdr:col>27</xdr:col>
      <xdr:colOff>0</xdr:colOff>
      <xdr:row>8</xdr:row>
      <xdr:rowOff>123826</xdr:rowOff>
    </xdr:to>
    <xdr:sp macro="" textlink="">
      <xdr:nvSpPr>
        <xdr:cNvPr id="6" name="右矢印 3"/>
        <xdr:cNvSpPr/>
      </xdr:nvSpPr>
      <xdr:spPr>
        <a:xfrm>
          <a:off x="5076825" y="1257300"/>
          <a:ext cx="1238250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17</xdr:col>
      <xdr:colOff>0</xdr:colOff>
      <xdr:row>9</xdr:row>
      <xdr:rowOff>66675</xdr:rowOff>
    </xdr:from>
    <xdr:to>
      <xdr:col>28</xdr:col>
      <xdr:colOff>0</xdr:colOff>
      <xdr:row>10</xdr:row>
      <xdr:rowOff>133351</xdr:rowOff>
    </xdr:to>
    <xdr:sp macro="" textlink="">
      <xdr:nvSpPr>
        <xdr:cNvPr id="7" name="右矢印 4"/>
        <xdr:cNvSpPr/>
      </xdr:nvSpPr>
      <xdr:spPr>
        <a:xfrm>
          <a:off x="5076825" y="1609725"/>
          <a:ext cx="1362075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20</xdr:col>
      <xdr:colOff>0</xdr:colOff>
      <xdr:row>11</xdr:row>
      <xdr:rowOff>66675</xdr:rowOff>
    </xdr:from>
    <xdr:to>
      <xdr:col>27</xdr:col>
      <xdr:colOff>0</xdr:colOff>
      <xdr:row>12</xdr:row>
      <xdr:rowOff>133351</xdr:rowOff>
    </xdr:to>
    <xdr:sp macro="" textlink="">
      <xdr:nvSpPr>
        <xdr:cNvPr id="8" name="右矢印 5"/>
        <xdr:cNvSpPr/>
      </xdr:nvSpPr>
      <xdr:spPr>
        <a:xfrm>
          <a:off x="5448300" y="1952625"/>
          <a:ext cx="866775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25</xdr:col>
      <xdr:colOff>0</xdr:colOff>
      <xdr:row>13</xdr:row>
      <xdr:rowOff>66675</xdr:rowOff>
    </xdr:from>
    <xdr:to>
      <xdr:col>28</xdr:col>
      <xdr:colOff>0</xdr:colOff>
      <xdr:row>14</xdr:row>
      <xdr:rowOff>133351</xdr:rowOff>
    </xdr:to>
    <xdr:sp macro="" textlink="">
      <xdr:nvSpPr>
        <xdr:cNvPr id="9" name="右矢印 6"/>
        <xdr:cNvSpPr/>
      </xdr:nvSpPr>
      <xdr:spPr>
        <a:xfrm>
          <a:off x="6067425" y="2295525"/>
          <a:ext cx="371475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29</xdr:col>
      <xdr:colOff>0</xdr:colOff>
      <xdr:row>15</xdr:row>
      <xdr:rowOff>57150</xdr:rowOff>
    </xdr:from>
    <xdr:to>
      <xdr:col>32</xdr:col>
      <xdr:colOff>0</xdr:colOff>
      <xdr:row>16</xdr:row>
      <xdr:rowOff>123826</xdr:rowOff>
    </xdr:to>
    <xdr:sp macro="" textlink="">
      <xdr:nvSpPr>
        <xdr:cNvPr id="10" name="右矢印 7"/>
        <xdr:cNvSpPr/>
      </xdr:nvSpPr>
      <xdr:spPr>
        <a:xfrm>
          <a:off x="6562725" y="2628900"/>
          <a:ext cx="371475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I17"/>
  <sheetViews>
    <sheetView tabSelected="1" workbookViewId="0"/>
  </sheetViews>
  <sheetFormatPr defaultRowHeight="13.5"/>
  <cols>
    <col min="1" max="1" width="2.125" customWidth="1"/>
    <col min="2" max="2" width="3.125" customWidth="1"/>
    <col min="3" max="3" width="20.625" style="1" customWidth="1"/>
    <col min="4" max="4" width="15.125" style="1" bestFit="1" customWidth="1"/>
    <col min="5" max="5" width="6.125" style="1" customWidth="1"/>
    <col min="6" max="35" width="1.625" customWidth="1"/>
  </cols>
  <sheetData>
    <row r="2" spans="2:35">
      <c r="B2" s="25"/>
      <c r="C2" s="3" t="s">
        <v>3</v>
      </c>
      <c r="D2" s="3" t="s">
        <v>0</v>
      </c>
      <c r="E2" s="27" t="s">
        <v>1</v>
      </c>
      <c r="F2" s="21">
        <v>41365</v>
      </c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3"/>
    </row>
    <row r="3" spans="2:35">
      <c r="B3" s="25"/>
      <c r="C3" s="4" t="s">
        <v>11</v>
      </c>
      <c r="D3" s="4" t="s">
        <v>2</v>
      </c>
      <c r="E3" s="27"/>
      <c r="F3" s="15">
        <f>F2</f>
        <v>41365</v>
      </c>
      <c r="G3" s="16"/>
      <c r="H3" s="9"/>
      <c r="I3" s="11">
        <f>F3+4</f>
        <v>41369</v>
      </c>
      <c r="J3" s="12"/>
      <c r="K3" s="9"/>
      <c r="L3" s="9"/>
      <c r="M3" s="9"/>
      <c r="N3" s="13">
        <f>I3+5</f>
        <v>41374</v>
      </c>
      <c r="O3" s="14"/>
      <c r="P3" s="9"/>
      <c r="Q3" s="9"/>
      <c r="R3" s="9"/>
      <c r="S3" s="13">
        <f>N3+5</f>
        <v>41379</v>
      </c>
      <c r="T3" s="14"/>
      <c r="U3" s="9"/>
      <c r="V3" s="9"/>
      <c r="W3" s="9"/>
      <c r="X3" s="13">
        <f>S3+5</f>
        <v>41384</v>
      </c>
      <c r="Y3" s="14"/>
      <c r="Z3" s="9"/>
      <c r="AA3" s="9"/>
      <c r="AB3" s="9"/>
      <c r="AC3" s="13">
        <f>X3+5</f>
        <v>41389</v>
      </c>
      <c r="AD3" s="14"/>
      <c r="AE3" s="9"/>
      <c r="AF3" s="9"/>
      <c r="AG3" s="10"/>
      <c r="AH3" s="13">
        <f>X3+10</f>
        <v>41394</v>
      </c>
      <c r="AI3" s="24"/>
    </row>
    <row r="4" spans="2:35">
      <c r="B4" s="28">
        <v>1</v>
      </c>
      <c r="C4" s="5" t="s">
        <v>4</v>
      </c>
      <c r="D4" s="8">
        <v>41365</v>
      </c>
      <c r="E4" s="26">
        <v>6</v>
      </c>
      <c r="F4" s="17"/>
      <c r="G4" s="18"/>
      <c r="H4" s="18"/>
      <c r="I4" s="19"/>
      <c r="J4" s="17"/>
      <c r="K4" s="18"/>
      <c r="L4" s="18"/>
      <c r="M4" s="18"/>
      <c r="N4" s="19"/>
      <c r="O4" s="17"/>
      <c r="P4" s="18"/>
      <c r="Q4" s="18"/>
      <c r="R4" s="18"/>
      <c r="S4" s="19"/>
      <c r="T4" s="17"/>
      <c r="U4" s="18"/>
      <c r="V4" s="18"/>
      <c r="W4" s="18"/>
      <c r="X4" s="19"/>
      <c r="Y4" s="17"/>
      <c r="Z4" s="18"/>
      <c r="AA4" s="18"/>
      <c r="AB4" s="18"/>
      <c r="AC4" s="19"/>
      <c r="AD4" s="17"/>
      <c r="AE4" s="18"/>
      <c r="AF4" s="18"/>
      <c r="AG4" s="18"/>
      <c r="AH4" s="19"/>
      <c r="AI4" s="20"/>
    </row>
    <row r="5" spans="2:35">
      <c r="B5" s="28"/>
      <c r="C5" s="6" t="s">
        <v>6</v>
      </c>
      <c r="D5" s="7">
        <f>IF(D4="","",D4+E4)</f>
        <v>41371</v>
      </c>
      <c r="E5" s="26"/>
      <c r="F5" s="17"/>
      <c r="G5" s="18"/>
      <c r="H5" s="18"/>
      <c r="I5" s="19"/>
      <c r="J5" s="17"/>
      <c r="K5" s="18"/>
      <c r="L5" s="18"/>
      <c r="M5" s="18"/>
      <c r="N5" s="19"/>
      <c r="O5" s="17"/>
      <c r="P5" s="18"/>
      <c r="Q5" s="18"/>
      <c r="R5" s="18"/>
      <c r="S5" s="19"/>
      <c r="T5" s="17"/>
      <c r="U5" s="18"/>
      <c r="V5" s="18"/>
      <c r="W5" s="18"/>
      <c r="X5" s="19"/>
      <c r="Y5" s="17"/>
      <c r="Z5" s="18"/>
      <c r="AA5" s="18"/>
      <c r="AB5" s="18"/>
      <c r="AC5" s="19"/>
      <c r="AD5" s="17"/>
      <c r="AE5" s="18"/>
      <c r="AF5" s="18"/>
      <c r="AG5" s="18"/>
      <c r="AH5" s="19"/>
      <c r="AI5" s="20"/>
    </row>
    <row r="6" spans="2:35">
      <c r="B6" s="28">
        <v>2</v>
      </c>
      <c r="C6" s="5" t="s">
        <v>5</v>
      </c>
      <c r="D6" s="8">
        <f>D5</f>
        <v>41371</v>
      </c>
      <c r="E6" s="26">
        <v>6</v>
      </c>
      <c r="F6" s="17"/>
      <c r="G6" s="18"/>
      <c r="H6" s="18"/>
      <c r="I6" s="19"/>
      <c r="J6" s="17"/>
      <c r="K6" s="18"/>
      <c r="L6" s="18"/>
      <c r="M6" s="18"/>
      <c r="N6" s="19"/>
      <c r="O6" s="17"/>
      <c r="P6" s="18"/>
      <c r="Q6" s="18"/>
      <c r="R6" s="18"/>
      <c r="S6" s="19"/>
      <c r="T6" s="17"/>
      <c r="U6" s="18"/>
      <c r="V6" s="18"/>
      <c r="W6" s="18"/>
      <c r="X6" s="19"/>
      <c r="Y6" s="17"/>
      <c r="Z6" s="18"/>
      <c r="AA6" s="18"/>
      <c r="AB6" s="18"/>
      <c r="AC6" s="19"/>
      <c r="AD6" s="17"/>
      <c r="AE6" s="18"/>
      <c r="AF6" s="18"/>
      <c r="AG6" s="18"/>
      <c r="AH6" s="19"/>
      <c r="AI6" s="20"/>
    </row>
    <row r="7" spans="2:35">
      <c r="B7" s="28"/>
      <c r="C7" s="6" t="s">
        <v>7</v>
      </c>
      <c r="D7" s="2">
        <f>IF(D6="","",D6+E6)</f>
        <v>41377</v>
      </c>
      <c r="E7" s="26"/>
      <c r="F7" s="17"/>
      <c r="G7" s="18"/>
      <c r="H7" s="18"/>
      <c r="I7" s="19"/>
      <c r="J7" s="17"/>
      <c r="K7" s="18"/>
      <c r="L7" s="18"/>
      <c r="M7" s="18"/>
      <c r="N7" s="19"/>
      <c r="O7" s="17"/>
      <c r="P7" s="18"/>
      <c r="Q7" s="18"/>
      <c r="R7" s="18"/>
      <c r="S7" s="19"/>
      <c r="T7" s="17"/>
      <c r="U7" s="18"/>
      <c r="V7" s="18"/>
      <c r="W7" s="18"/>
      <c r="X7" s="19"/>
      <c r="Y7" s="17"/>
      <c r="Z7" s="18"/>
      <c r="AA7" s="18"/>
      <c r="AB7" s="18"/>
      <c r="AC7" s="19"/>
      <c r="AD7" s="17"/>
      <c r="AE7" s="18"/>
      <c r="AF7" s="18"/>
      <c r="AG7" s="18"/>
      <c r="AH7" s="19"/>
      <c r="AI7" s="20"/>
    </row>
    <row r="8" spans="2:35">
      <c r="B8" s="28">
        <v>3</v>
      </c>
      <c r="C8" s="5" t="s">
        <v>13</v>
      </c>
      <c r="D8" s="8">
        <f>D7</f>
        <v>41377</v>
      </c>
      <c r="E8" s="26">
        <v>10</v>
      </c>
      <c r="F8" s="17"/>
      <c r="G8" s="18"/>
      <c r="H8" s="18"/>
      <c r="I8" s="19"/>
      <c r="J8" s="17"/>
      <c r="K8" s="18"/>
      <c r="L8" s="18"/>
      <c r="M8" s="18"/>
      <c r="N8" s="19"/>
      <c r="O8" s="17"/>
      <c r="P8" s="18"/>
      <c r="Q8" s="18"/>
      <c r="R8" s="18"/>
      <c r="S8" s="19"/>
      <c r="T8" s="17"/>
      <c r="U8" s="18"/>
      <c r="V8" s="18"/>
      <c r="W8" s="18"/>
      <c r="X8" s="19"/>
      <c r="Y8" s="17"/>
      <c r="Z8" s="18"/>
      <c r="AA8" s="18"/>
      <c r="AB8" s="18"/>
      <c r="AC8" s="19"/>
      <c r="AD8" s="17"/>
      <c r="AE8" s="18"/>
      <c r="AF8" s="18"/>
      <c r="AG8" s="18"/>
      <c r="AH8" s="19"/>
      <c r="AI8" s="20"/>
    </row>
    <row r="9" spans="2:35">
      <c r="B9" s="28"/>
      <c r="C9" s="6" t="s">
        <v>7</v>
      </c>
      <c r="D9" s="2">
        <f>IF(D8="","",D8+E8)</f>
        <v>41387</v>
      </c>
      <c r="E9" s="26"/>
      <c r="F9" s="17"/>
      <c r="G9" s="18"/>
      <c r="H9" s="18"/>
      <c r="I9" s="19"/>
      <c r="J9" s="17"/>
      <c r="K9" s="18"/>
      <c r="L9" s="18"/>
      <c r="M9" s="18"/>
      <c r="N9" s="19"/>
      <c r="O9" s="17"/>
      <c r="P9" s="18"/>
      <c r="Q9" s="18"/>
      <c r="R9" s="18"/>
      <c r="S9" s="19"/>
      <c r="T9" s="17"/>
      <c r="U9" s="18"/>
      <c r="V9" s="18"/>
      <c r="W9" s="18"/>
      <c r="X9" s="19"/>
      <c r="Y9" s="17"/>
      <c r="Z9" s="18"/>
      <c r="AA9" s="18"/>
      <c r="AB9" s="18"/>
      <c r="AC9" s="19"/>
      <c r="AD9" s="17"/>
      <c r="AE9" s="18"/>
      <c r="AF9" s="18"/>
      <c r="AG9" s="18"/>
      <c r="AH9" s="19"/>
      <c r="AI9" s="20"/>
    </row>
    <row r="10" spans="2:35">
      <c r="B10" s="28">
        <v>4</v>
      </c>
      <c r="C10" s="5" t="s">
        <v>8</v>
      </c>
      <c r="D10" s="8">
        <f>D7</f>
        <v>41377</v>
      </c>
      <c r="E10" s="26">
        <v>11</v>
      </c>
      <c r="F10" s="17"/>
      <c r="G10" s="18"/>
      <c r="H10" s="18"/>
      <c r="I10" s="19"/>
      <c r="J10" s="17"/>
      <c r="K10" s="18"/>
      <c r="L10" s="18"/>
      <c r="M10" s="18"/>
      <c r="N10" s="19"/>
      <c r="O10" s="17"/>
      <c r="P10" s="18"/>
      <c r="Q10" s="18"/>
      <c r="R10" s="18"/>
      <c r="S10" s="19"/>
      <c r="T10" s="17"/>
      <c r="U10" s="18"/>
      <c r="V10" s="18"/>
      <c r="W10" s="18"/>
      <c r="X10" s="19"/>
      <c r="Y10" s="17"/>
      <c r="Z10" s="18"/>
      <c r="AA10" s="18"/>
      <c r="AB10" s="18"/>
      <c r="AC10" s="19"/>
      <c r="AD10" s="17"/>
      <c r="AE10" s="18"/>
      <c r="AF10" s="18"/>
      <c r="AG10" s="18"/>
      <c r="AH10" s="19"/>
      <c r="AI10" s="20"/>
    </row>
    <row r="11" spans="2:35">
      <c r="B11" s="28"/>
      <c r="C11" s="6" t="s">
        <v>6</v>
      </c>
      <c r="D11" s="2">
        <f>IF(D10="","",D10+E10)</f>
        <v>41388</v>
      </c>
      <c r="E11" s="26"/>
      <c r="F11" s="17"/>
      <c r="G11" s="18"/>
      <c r="H11" s="18"/>
      <c r="I11" s="19"/>
      <c r="J11" s="17"/>
      <c r="K11" s="18"/>
      <c r="L11" s="18"/>
      <c r="M11" s="18"/>
      <c r="N11" s="19"/>
      <c r="O11" s="17"/>
      <c r="P11" s="18"/>
      <c r="Q11" s="18"/>
      <c r="R11" s="18"/>
      <c r="S11" s="19"/>
      <c r="T11" s="17"/>
      <c r="U11" s="18"/>
      <c r="V11" s="18"/>
      <c r="W11" s="18"/>
      <c r="X11" s="19"/>
      <c r="Y11" s="17"/>
      <c r="Z11" s="18"/>
      <c r="AA11" s="18"/>
      <c r="AB11" s="18"/>
      <c r="AC11" s="19"/>
      <c r="AD11" s="17"/>
      <c r="AE11" s="18"/>
      <c r="AF11" s="18"/>
      <c r="AG11" s="18"/>
      <c r="AH11" s="19"/>
      <c r="AI11" s="20"/>
    </row>
    <row r="12" spans="2:35">
      <c r="B12" s="28">
        <v>5</v>
      </c>
      <c r="C12" s="5" t="s">
        <v>14</v>
      </c>
      <c r="D12" s="8">
        <f>D9-7</f>
        <v>41380</v>
      </c>
      <c r="E12" s="26">
        <v>7</v>
      </c>
      <c r="F12" s="17"/>
      <c r="G12" s="18"/>
      <c r="H12" s="18"/>
      <c r="I12" s="19"/>
      <c r="J12" s="17"/>
      <c r="K12" s="18"/>
      <c r="L12" s="18"/>
      <c r="M12" s="18"/>
      <c r="N12" s="19"/>
      <c r="O12" s="17"/>
      <c r="P12" s="18"/>
      <c r="Q12" s="18"/>
      <c r="R12" s="18"/>
      <c r="S12" s="19"/>
      <c r="T12" s="17"/>
      <c r="U12" s="18"/>
      <c r="V12" s="18"/>
      <c r="W12" s="18"/>
      <c r="X12" s="19"/>
      <c r="Y12" s="17"/>
      <c r="Z12" s="18"/>
      <c r="AA12" s="18"/>
      <c r="AB12" s="18"/>
      <c r="AC12" s="19"/>
      <c r="AD12" s="17"/>
      <c r="AE12" s="18"/>
      <c r="AF12" s="18"/>
      <c r="AG12" s="18"/>
      <c r="AH12" s="19"/>
      <c r="AI12" s="20"/>
    </row>
    <row r="13" spans="2:35">
      <c r="B13" s="28"/>
      <c r="C13" s="6" t="s">
        <v>12</v>
      </c>
      <c r="D13" s="2">
        <f>IF(D12="","",D12+E12)</f>
        <v>41387</v>
      </c>
      <c r="E13" s="26"/>
      <c r="F13" s="17"/>
      <c r="G13" s="18"/>
      <c r="H13" s="18"/>
      <c r="I13" s="19"/>
      <c r="J13" s="17"/>
      <c r="K13" s="18"/>
      <c r="L13" s="18"/>
      <c r="M13" s="18"/>
      <c r="N13" s="19"/>
      <c r="O13" s="17"/>
      <c r="P13" s="18"/>
      <c r="Q13" s="18"/>
      <c r="R13" s="18"/>
      <c r="S13" s="19"/>
      <c r="T13" s="17"/>
      <c r="U13" s="18"/>
      <c r="V13" s="18"/>
      <c r="W13" s="18"/>
      <c r="X13" s="19"/>
      <c r="Y13" s="17"/>
      <c r="Z13" s="18"/>
      <c r="AA13" s="18"/>
      <c r="AB13" s="18"/>
      <c r="AC13" s="19"/>
      <c r="AD13" s="17"/>
      <c r="AE13" s="18"/>
      <c r="AF13" s="18"/>
      <c r="AG13" s="18"/>
      <c r="AH13" s="19"/>
      <c r="AI13" s="20"/>
    </row>
    <row r="14" spans="2:35">
      <c r="B14" s="28">
        <v>6</v>
      </c>
      <c r="C14" s="5" t="s">
        <v>10</v>
      </c>
      <c r="D14" s="8">
        <f>D13-2</f>
        <v>41385</v>
      </c>
      <c r="E14" s="26">
        <v>3</v>
      </c>
      <c r="F14" s="17"/>
      <c r="G14" s="18"/>
      <c r="H14" s="18"/>
      <c r="I14" s="19"/>
      <c r="J14" s="17"/>
      <c r="K14" s="18"/>
      <c r="L14" s="18"/>
      <c r="M14" s="18"/>
      <c r="N14" s="19"/>
      <c r="O14" s="17"/>
      <c r="P14" s="18"/>
      <c r="Q14" s="18"/>
      <c r="R14" s="18"/>
      <c r="S14" s="19"/>
      <c r="T14" s="17"/>
      <c r="U14" s="18"/>
      <c r="V14" s="18"/>
      <c r="W14" s="18"/>
      <c r="X14" s="19"/>
      <c r="Y14" s="17"/>
      <c r="Z14" s="18"/>
      <c r="AA14" s="18"/>
      <c r="AB14" s="18"/>
      <c r="AC14" s="19"/>
      <c r="AD14" s="17"/>
      <c r="AE14" s="18"/>
      <c r="AF14" s="18"/>
      <c r="AG14" s="18"/>
      <c r="AH14" s="19"/>
      <c r="AI14" s="20"/>
    </row>
    <row r="15" spans="2:35">
      <c r="B15" s="28"/>
      <c r="C15" s="6" t="s">
        <v>12</v>
      </c>
      <c r="D15" s="2">
        <f>IF(D14="","",D14+E14)</f>
        <v>41388</v>
      </c>
      <c r="E15" s="26"/>
      <c r="F15" s="17"/>
      <c r="G15" s="18"/>
      <c r="H15" s="18"/>
      <c r="I15" s="19"/>
      <c r="J15" s="17"/>
      <c r="K15" s="18"/>
      <c r="L15" s="18"/>
      <c r="M15" s="18"/>
      <c r="N15" s="19"/>
      <c r="O15" s="17"/>
      <c r="P15" s="18"/>
      <c r="Q15" s="18"/>
      <c r="R15" s="18"/>
      <c r="S15" s="19"/>
      <c r="T15" s="17"/>
      <c r="U15" s="18"/>
      <c r="V15" s="18"/>
      <c r="W15" s="18"/>
      <c r="X15" s="19"/>
      <c r="Y15" s="17"/>
      <c r="Z15" s="18"/>
      <c r="AA15" s="18"/>
      <c r="AB15" s="18"/>
      <c r="AC15" s="19"/>
      <c r="AD15" s="17"/>
      <c r="AE15" s="18"/>
      <c r="AF15" s="18"/>
      <c r="AG15" s="18"/>
      <c r="AH15" s="19"/>
      <c r="AI15" s="20"/>
    </row>
    <row r="16" spans="2:35">
      <c r="B16" s="28">
        <v>7</v>
      </c>
      <c r="C16" s="5" t="s">
        <v>9</v>
      </c>
      <c r="D16" s="8">
        <f>D15+1</f>
        <v>41389</v>
      </c>
      <c r="E16" s="26">
        <v>3</v>
      </c>
      <c r="F16" s="17"/>
      <c r="G16" s="18"/>
      <c r="H16" s="18"/>
      <c r="I16" s="19"/>
      <c r="J16" s="17"/>
      <c r="K16" s="18"/>
      <c r="L16" s="18"/>
      <c r="M16" s="18"/>
      <c r="N16" s="19"/>
      <c r="O16" s="17"/>
      <c r="P16" s="18"/>
      <c r="Q16" s="18"/>
      <c r="R16" s="18"/>
      <c r="S16" s="19"/>
      <c r="T16" s="17"/>
      <c r="U16" s="18"/>
      <c r="V16" s="18"/>
      <c r="W16" s="18"/>
      <c r="X16" s="19"/>
      <c r="Y16" s="17"/>
      <c r="Z16" s="18"/>
      <c r="AA16" s="18"/>
      <c r="AB16" s="18"/>
      <c r="AC16" s="19"/>
      <c r="AD16" s="17"/>
      <c r="AE16" s="18"/>
      <c r="AF16" s="18"/>
      <c r="AG16" s="18"/>
      <c r="AH16" s="19"/>
      <c r="AI16" s="20"/>
    </row>
    <row r="17" spans="2:35">
      <c r="B17" s="28"/>
      <c r="C17" s="6" t="s">
        <v>6</v>
      </c>
      <c r="D17" s="2">
        <f>IF(D16="","",D16+E16)</f>
        <v>41392</v>
      </c>
      <c r="E17" s="26"/>
      <c r="F17" s="17"/>
      <c r="G17" s="18"/>
      <c r="H17" s="18"/>
      <c r="I17" s="19"/>
      <c r="J17" s="17"/>
      <c r="K17" s="18"/>
      <c r="L17" s="18"/>
      <c r="M17" s="18"/>
      <c r="N17" s="19"/>
      <c r="O17" s="17"/>
      <c r="P17" s="18"/>
      <c r="Q17" s="18"/>
      <c r="R17" s="18"/>
      <c r="S17" s="19"/>
      <c r="T17" s="17"/>
      <c r="U17" s="18"/>
      <c r="V17" s="18"/>
      <c r="W17" s="18"/>
      <c r="X17" s="19"/>
      <c r="Y17" s="17"/>
      <c r="Z17" s="18"/>
      <c r="AA17" s="18"/>
      <c r="AB17" s="18"/>
      <c r="AC17" s="19"/>
      <c r="AD17" s="17"/>
      <c r="AE17" s="18"/>
      <c r="AF17" s="18"/>
      <c r="AG17" s="18"/>
      <c r="AH17" s="19"/>
      <c r="AI17" s="20"/>
    </row>
  </sheetData>
  <sheetProtection sheet="1" objects="1" scenarios="1"/>
  <mergeCells count="234">
    <mergeCell ref="B2:B3"/>
    <mergeCell ref="E16:E17"/>
    <mergeCell ref="E14:E15"/>
    <mergeCell ref="E12:E13"/>
    <mergeCell ref="E10:E11"/>
    <mergeCell ref="E8:E9"/>
    <mergeCell ref="E6:E7"/>
    <mergeCell ref="E4:E5"/>
    <mergeCell ref="E2:E3"/>
    <mergeCell ref="B4:B5"/>
    <mergeCell ref="B6:B7"/>
    <mergeCell ref="B16:B17"/>
    <mergeCell ref="B14:B15"/>
    <mergeCell ref="B12:B13"/>
    <mergeCell ref="B10:B11"/>
    <mergeCell ref="B8:B9"/>
    <mergeCell ref="F16:F17"/>
    <mergeCell ref="F2:AI2"/>
    <mergeCell ref="N3:O3"/>
    <mergeCell ref="X3:Y3"/>
    <mergeCell ref="AH3:AI3"/>
    <mergeCell ref="G4:G5"/>
    <mergeCell ref="H4:H5"/>
    <mergeCell ref="I4:I5"/>
    <mergeCell ref="F4:F5"/>
    <mergeCell ref="F6:F7"/>
    <mergeCell ref="F8:F9"/>
    <mergeCell ref="F10:F11"/>
    <mergeCell ref="F12:F13"/>
    <mergeCell ref="F14:F15"/>
    <mergeCell ref="P4:P5"/>
    <mergeCell ref="Q4:Q5"/>
    <mergeCell ref="R4:R5"/>
    <mergeCell ref="S4:S5"/>
    <mergeCell ref="T4:T5"/>
    <mergeCell ref="U4:U5"/>
    <mergeCell ref="J4:J5"/>
    <mergeCell ref="K4:K5"/>
    <mergeCell ref="L4:L5"/>
    <mergeCell ref="M4:M5"/>
    <mergeCell ref="N4:N5"/>
    <mergeCell ref="O4:O5"/>
    <mergeCell ref="Q6:Q7"/>
    <mergeCell ref="R6:R7"/>
    <mergeCell ref="S6:S7"/>
    <mergeCell ref="AH4:AH5"/>
    <mergeCell ref="AI4:AI5"/>
    <mergeCell ref="G6:G7"/>
    <mergeCell ref="H6:H7"/>
    <mergeCell ref="I6:I7"/>
    <mergeCell ref="J6:J7"/>
    <mergeCell ref="K6:K7"/>
    <mergeCell ref="L6:L7"/>
    <mergeCell ref="M6:M7"/>
    <mergeCell ref="AB4:AB5"/>
    <mergeCell ref="AC4:AC5"/>
    <mergeCell ref="AD4:AD5"/>
    <mergeCell ref="AE4:AE5"/>
    <mergeCell ref="AF4:AF5"/>
    <mergeCell ref="AG4:AG5"/>
    <mergeCell ref="V4:V5"/>
    <mergeCell ref="W4:W5"/>
    <mergeCell ref="X4:X5"/>
    <mergeCell ref="Y4:Y5"/>
    <mergeCell ref="Z4:Z5"/>
    <mergeCell ref="AA4:AA5"/>
    <mergeCell ref="AF6:AF7"/>
    <mergeCell ref="AG6:AG7"/>
    <mergeCell ref="AH6:AH7"/>
    <mergeCell ref="AI6:AI7"/>
    <mergeCell ref="G8:G9"/>
    <mergeCell ref="H8:H9"/>
    <mergeCell ref="I8:I9"/>
    <mergeCell ref="J8:J9"/>
    <mergeCell ref="K8:K9"/>
    <mergeCell ref="Z6:Z7"/>
    <mergeCell ref="AA6:AA7"/>
    <mergeCell ref="AB6:AB7"/>
    <mergeCell ref="AC6:AC7"/>
    <mergeCell ref="AD6:AD7"/>
    <mergeCell ref="AE6:AE7"/>
    <mergeCell ref="T6:T7"/>
    <mergeCell ref="U6:U7"/>
    <mergeCell ref="V6:V7"/>
    <mergeCell ref="W6:W7"/>
    <mergeCell ref="X6:X7"/>
    <mergeCell ref="Y6:Y7"/>
    <mergeCell ref="N6:N7"/>
    <mergeCell ref="O6:O7"/>
    <mergeCell ref="P6:P7"/>
    <mergeCell ref="R8:R9"/>
    <mergeCell ref="S8:S9"/>
    <mergeCell ref="T8:T9"/>
    <mergeCell ref="U8:U9"/>
    <mergeCell ref="V8:V9"/>
    <mergeCell ref="W8:W9"/>
    <mergeCell ref="L8:L9"/>
    <mergeCell ref="M8:M9"/>
    <mergeCell ref="N8:N9"/>
    <mergeCell ref="O8:O9"/>
    <mergeCell ref="P8:P9"/>
    <mergeCell ref="Q8:Q9"/>
    <mergeCell ref="AD8:AD9"/>
    <mergeCell ref="AE8:AE9"/>
    <mergeCell ref="AF8:AF9"/>
    <mergeCell ref="AG8:AG9"/>
    <mergeCell ref="AH8:AH9"/>
    <mergeCell ref="AI8:AI9"/>
    <mergeCell ref="X8:X9"/>
    <mergeCell ref="Y8:Y9"/>
    <mergeCell ref="Z8:Z9"/>
    <mergeCell ref="AA8:AA9"/>
    <mergeCell ref="AB8:AB9"/>
    <mergeCell ref="AC8:AC9"/>
    <mergeCell ref="AH10:AH11"/>
    <mergeCell ref="AI10:AI11"/>
    <mergeCell ref="X10:X11"/>
    <mergeCell ref="Y10:Y11"/>
    <mergeCell ref="Z10:Z11"/>
    <mergeCell ref="AA10:AA11"/>
    <mergeCell ref="AB10:AB11"/>
    <mergeCell ref="AC10:AC11"/>
    <mergeCell ref="R10:R11"/>
    <mergeCell ref="S10:S11"/>
    <mergeCell ref="T10:T11"/>
    <mergeCell ref="U10:U11"/>
    <mergeCell ref="V10:V11"/>
    <mergeCell ref="W10:W11"/>
    <mergeCell ref="G12:G13"/>
    <mergeCell ref="H12:H13"/>
    <mergeCell ref="I12:I13"/>
    <mergeCell ref="J12:J13"/>
    <mergeCell ref="K12:K13"/>
    <mergeCell ref="AD10:AD11"/>
    <mergeCell ref="AE10:AE11"/>
    <mergeCell ref="AF10:AF11"/>
    <mergeCell ref="AG10:AG11"/>
    <mergeCell ref="L10:L11"/>
    <mergeCell ref="M10:M11"/>
    <mergeCell ref="N10:N11"/>
    <mergeCell ref="O10:O11"/>
    <mergeCell ref="P10:P11"/>
    <mergeCell ref="Q10:Q11"/>
    <mergeCell ref="G10:G11"/>
    <mergeCell ref="H10:H11"/>
    <mergeCell ref="I10:I11"/>
    <mergeCell ref="J10:J11"/>
    <mergeCell ref="K10:K11"/>
    <mergeCell ref="R12:R13"/>
    <mergeCell ref="S12:S13"/>
    <mergeCell ref="T12:T13"/>
    <mergeCell ref="U12:U13"/>
    <mergeCell ref="V12:V13"/>
    <mergeCell ref="W12:W13"/>
    <mergeCell ref="L12:L13"/>
    <mergeCell ref="M12:M13"/>
    <mergeCell ref="N12:N13"/>
    <mergeCell ref="O12:O13"/>
    <mergeCell ref="P12:P13"/>
    <mergeCell ref="Q12:Q13"/>
    <mergeCell ref="AD12:AD13"/>
    <mergeCell ref="AE12:AE13"/>
    <mergeCell ref="AF12:AF13"/>
    <mergeCell ref="AG12:AG13"/>
    <mergeCell ref="AH12:AH13"/>
    <mergeCell ref="AI12:AI13"/>
    <mergeCell ref="X12:X13"/>
    <mergeCell ref="Y12:Y13"/>
    <mergeCell ref="Z12:Z13"/>
    <mergeCell ref="AA12:AA13"/>
    <mergeCell ref="AB12:AB13"/>
    <mergeCell ref="AC12:AC13"/>
    <mergeCell ref="L14:L15"/>
    <mergeCell ref="M14:M15"/>
    <mergeCell ref="N14:N15"/>
    <mergeCell ref="O14:O15"/>
    <mergeCell ref="P14:P15"/>
    <mergeCell ref="Q14:Q15"/>
    <mergeCell ref="G14:G15"/>
    <mergeCell ref="H14:H15"/>
    <mergeCell ref="I14:I15"/>
    <mergeCell ref="J14:J15"/>
    <mergeCell ref="K14:K15"/>
    <mergeCell ref="AH14:AH15"/>
    <mergeCell ref="AI14:AI15"/>
    <mergeCell ref="X14:X15"/>
    <mergeCell ref="Y14:Y15"/>
    <mergeCell ref="Z14:Z15"/>
    <mergeCell ref="AA14:AA15"/>
    <mergeCell ref="AB14:AB15"/>
    <mergeCell ref="AC14:AC15"/>
    <mergeCell ref="R14:R15"/>
    <mergeCell ref="S14:S15"/>
    <mergeCell ref="T14:T15"/>
    <mergeCell ref="U14:U15"/>
    <mergeCell ref="V14:V15"/>
    <mergeCell ref="W14:W15"/>
    <mergeCell ref="AI16:AI17"/>
    <mergeCell ref="X16:X17"/>
    <mergeCell ref="Y16:Y17"/>
    <mergeCell ref="Z16:Z17"/>
    <mergeCell ref="AA16:AA17"/>
    <mergeCell ref="AB16:AB17"/>
    <mergeCell ref="AC16:AC17"/>
    <mergeCell ref="R16:R17"/>
    <mergeCell ref="S16:S17"/>
    <mergeCell ref="T16:T17"/>
    <mergeCell ref="U16:U17"/>
    <mergeCell ref="V16:V17"/>
    <mergeCell ref="W16:W17"/>
    <mergeCell ref="I3:J3"/>
    <mergeCell ref="S3:T3"/>
    <mergeCell ref="AC3:AD3"/>
    <mergeCell ref="F3:G3"/>
    <mergeCell ref="AD16:AD17"/>
    <mergeCell ref="AE16:AE17"/>
    <mergeCell ref="AF16:AF17"/>
    <mergeCell ref="AG16:AG17"/>
    <mergeCell ref="AH16:AH17"/>
    <mergeCell ref="L16:L17"/>
    <mergeCell ref="M16:M17"/>
    <mergeCell ref="N16:N17"/>
    <mergeCell ref="O16:O17"/>
    <mergeCell ref="P16:P17"/>
    <mergeCell ref="Q16:Q17"/>
    <mergeCell ref="G16:G17"/>
    <mergeCell ref="H16:H17"/>
    <mergeCell ref="I16:I17"/>
    <mergeCell ref="J16:J17"/>
    <mergeCell ref="K16:K17"/>
    <mergeCell ref="AD14:AD15"/>
    <mergeCell ref="AE14:AE15"/>
    <mergeCell ref="AF14:AF15"/>
    <mergeCell ref="AG14:AG15"/>
  </mergeCells>
  <phoneticPr fontId="1"/>
  <conditionalFormatting sqref="D4:D17">
    <cfRule type="expression" dxfId="1" priority="15">
      <formula>TEXT(D4,"aaa")="日"</formula>
    </cfRule>
    <cfRule type="expression" dxfId="0" priority="16">
      <formula>TEXT(D4,"aaa")="土"</formula>
    </cfRule>
  </conditionalFormatting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ignoredErrors>
    <ignoredError sqref="D13 D15" formula="1"/>
    <ignoredError sqref="D6:D9 D11" formula="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Company>有限会社魔人工房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Excelの極意④</dc:title>
  <dc:creator>早坂清志</dc:creator>
  <cp:lastModifiedBy>shoeisha</cp:lastModifiedBy>
  <cp:lastPrinted>2005-01-31T15:00:00Z</cp:lastPrinted>
  <dcterms:created xsi:type="dcterms:W3CDTF">2005-01-31T15:00:00Z</dcterms:created>
  <dcterms:modified xsi:type="dcterms:W3CDTF">2013-04-09T04:32:46Z</dcterms:modified>
</cp:coreProperties>
</file>